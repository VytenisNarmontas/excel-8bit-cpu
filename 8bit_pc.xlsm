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ytna\Downloads\"/>
    </mc:Choice>
  </mc:AlternateContent>
  <xr:revisionPtr revIDLastSave="0" documentId="13_ncr:1_{59E77D48-1C10-4FA9-AC09-27AB2B208A3D}" xr6:coauthVersionLast="47" xr6:coauthVersionMax="47" xr10:uidLastSave="{00000000-0000-0000-0000-000000000000}"/>
  <bookViews>
    <workbookView xWindow="-110" yWindow="-110" windowWidth="25820" windowHeight="13900" activeTab="1" xr2:uid="{81BE5161-1F9C-4FD4-8BBA-18D908DF3618}"/>
  </bookViews>
  <sheets>
    <sheet name="Notebook" sheetId="1" r:id="rId1"/>
    <sheet name="MAIN" sheetId="2" r:id="rId2"/>
  </sheets>
  <definedNames>
    <definedName name="ACC">MAIN!$L$28:$S$28</definedName>
    <definedName name="ACC_DEC">MAIN!$L$22</definedName>
    <definedName name="FLAG">MAIN!$L$26:$S$26</definedName>
    <definedName name="INPUT">MAIN!$I$1:$Z$8</definedName>
    <definedName name="IR">MAIN!$L$17:$S$17</definedName>
    <definedName name="LOAD">MAIN!$L$10</definedName>
    <definedName name="MEM_AT_OPERAND">MAIN!$L$23</definedName>
    <definedName name="NEW_ACC">MAIN!$L$24</definedName>
    <definedName name="OPCODE_DEC">MAIN!$L$20</definedName>
    <definedName name="OPERAND">MAIN!$L$19:$S$19</definedName>
    <definedName name="OPERAND_DEC">MAIN!$L$21</definedName>
    <definedName name="PC">MAIN!$L$14:$S$14</definedName>
    <definedName name="PC_DEC">MAIN!$L$16</definedName>
    <definedName name="PC_NEXT">MAIN!$L$15</definedName>
    <definedName name="PROGRAM_ROM">MAIN!$AF$1:$AM$16</definedName>
    <definedName name="RAM">MAIN!$A$40:$H$55</definedName>
    <definedName name="RAM_ADDRESS">MAIN!$I$40:$I$55</definedName>
    <definedName name="SCREEN">MAIN!$A$1:$H$8</definedName>
    <definedName name="TICK">MAIN!$L$12</definedName>
    <definedName name="ZF">MAIN!$L$26</definedName>
  </definedNames>
  <calcPr calcId="191029" iterate="1" iterateCount="1" iterateDelta="1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2" i="2" l="1"/>
  <c r="AP3" i="2"/>
  <c r="AP4" i="2"/>
  <c r="AP5" i="2"/>
  <c r="AP6" i="2"/>
  <c r="AP7" i="2"/>
  <c r="AP8" i="2"/>
  <c r="AP9" i="2"/>
  <c r="AP10" i="2"/>
  <c r="AP11" i="2"/>
  <c r="AP12" i="2"/>
  <c r="AP13" i="2"/>
  <c r="AP14" i="2"/>
  <c r="AP15" i="2"/>
  <c r="AP16" i="2"/>
  <c r="AP1" i="2"/>
  <c r="AO2" i="2"/>
  <c r="AO3" i="2"/>
  <c r="AO4" i="2"/>
  <c r="AO5" i="2"/>
  <c r="AO6" i="2"/>
  <c r="AO7" i="2"/>
  <c r="AO8" i="2"/>
  <c r="AO9" i="2"/>
  <c r="AO10" i="2"/>
  <c r="AO11" i="2"/>
  <c r="AO12" i="2"/>
  <c r="AO13" i="2"/>
  <c r="AO14" i="2"/>
  <c r="AO15" i="2"/>
  <c r="AO16" i="2"/>
  <c r="AO1" i="2"/>
  <c r="L19" i="2"/>
  <c r="M19" i="2"/>
  <c r="N19" i="2"/>
  <c r="O19" i="2"/>
  <c r="L14" i="2"/>
  <c r="M14" i="2"/>
  <c r="N14" i="2"/>
  <c r="O14" i="2"/>
  <c r="P14" i="2"/>
  <c r="Q14" i="2"/>
  <c r="R14" i="2"/>
  <c r="S14" i="2"/>
  <c r="L15" i="2"/>
  <c r="L16" i="2"/>
  <c r="L17" i="2"/>
  <c r="M17" i="2"/>
  <c r="N17" i="2"/>
  <c r="O17" i="2"/>
  <c r="P17" i="2"/>
  <c r="Q17" i="2"/>
  <c r="R17" i="2"/>
  <c r="S17" i="2"/>
  <c r="P19" i="2"/>
  <c r="Q19" i="2"/>
  <c r="R19" i="2"/>
  <c r="S19" i="2"/>
  <c r="L20" i="2"/>
  <c r="L21" i="2"/>
  <c r="L22" i="2"/>
  <c r="L23" i="2"/>
  <c r="L24" i="2"/>
  <c r="L26" i="2"/>
  <c r="L28" i="2"/>
  <c r="M28" i="2"/>
  <c r="N28" i="2"/>
  <c r="O28" i="2"/>
  <c r="P28" i="2"/>
  <c r="Q28" i="2"/>
  <c r="R28" i="2"/>
  <c r="S28" i="2"/>
  <c r="A40" i="2"/>
  <c r="B40" i="2"/>
  <c r="C40" i="2"/>
  <c r="D40" i="2"/>
  <c r="E40" i="2"/>
  <c r="F40" i="2"/>
  <c r="G40" i="2"/>
  <c r="H40" i="2"/>
  <c r="J40" i="2"/>
  <c r="A41" i="2"/>
  <c r="B41" i="2"/>
  <c r="C41" i="2"/>
  <c r="D41" i="2"/>
  <c r="E41" i="2"/>
  <c r="F41" i="2"/>
  <c r="G41" i="2"/>
  <c r="H41" i="2"/>
  <c r="J41" i="2"/>
  <c r="A42" i="2"/>
  <c r="B42" i="2"/>
  <c r="C42" i="2"/>
  <c r="D42" i="2"/>
  <c r="E42" i="2"/>
  <c r="F42" i="2"/>
  <c r="G42" i="2"/>
  <c r="H42" i="2"/>
  <c r="J42" i="2"/>
  <c r="A43" i="2"/>
  <c r="B43" i="2"/>
  <c r="C43" i="2"/>
  <c r="D43" i="2"/>
  <c r="E43" i="2"/>
  <c r="F43" i="2"/>
  <c r="G43" i="2"/>
  <c r="H43" i="2"/>
  <c r="J43" i="2"/>
  <c r="A44" i="2"/>
  <c r="B44" i="2"/>
  <c r="C44" i="2"/>
  <c r="D44" i="2"/>
  <c r="E44" i="2"/>
  <c r="F44" i="2"/>
  <c r="G44" i="2"/>
  <c r="H44" i="2"/>
  <c r="J44" i="2"/>
  <c r="A45" i="2"/>
  <c r="B45" i="2"/>
  <c r="C45" i="2"/>
  <c r="D45" i="2"/>
  <c r="E45" i="2"/>
  <c r="F45" i="2"/>
  <c r="G45" i="2"/>
  <c r="H45" i="2"/>
  <c r="J45" i="2"/>
  <c r="A46" i="2"/>
  <c r="B46" i="2"/>
  <c r="C46" i="2"/>
  <c r="D46" i="2"/>
  <c r="E46" i="2"/>
  <c r="F46" i="2"/>
  <c r="G46" i="2"/>
  <c r="H46" i="2"/>
  <c r="J46" i="2"/>
  <c r="A47" i="2"/>
  <c r="B47" i="2"/>
  <c r="C47" i="2"/>
  <c r="D47" i="2"/>
  <c r="E47" i="2"/>
  <c r="F47" i="2"/>
  <c r="G47" i="2"/>
  <c r="H47" i="2"/>
  <c r="J47" i="2"/>
  <c r="A48" i="2"/>
  <c r="B48" i="2"/>
  <c r="C48" i="2"/>
  <c r="D48" i="2"/>
  <c r="E48" i="2"/>
  <c r="F48" i="2"/>
  <c r="G48" i="2"/>
  <c r="H48" i="2"/>
  <c r="J48" i="2"/>
  <c r="A49" i="2"/>
  <c r="B49" i="2"/>
  <c r="C49" i="2"/>
  <c r="D49" i="2"/>
  <c r="E49" i="2"/>
  <c r="F49" i="2"/>
  <c r="G49" i="2"/>
  <c r="H49" i="2"/>
  <c r="J49" i="2"/>
  <c r="BB49" i="2"/>
  <c r="BC49" i="2"/>
  <c r="BD49" i="2"/>
  <c r="BE49" i="2"/>
  <c r="BF49" i="2"/>
  <c r="BG49" i="2"/>
  <c r="BH49" i="2"/>
  <c r="BI49" i="2"/>
  <c r="A50" i="2"/>
  <c r="B50" i="2"/>
  <c r="C50" i="2"/>
  <c r="D50" i="2"/>
  <c r="E50" i="2"/>
  <c r="F50" i="2"/>
  <c r="G50" i="2"/>
  <c r="H50" i="2"/>
  <c r="J50" i="2"/>
  <c r="BB50" i="2"/>
  <c r="BC50" i="2"/>
  <c r="BD50" i="2"/>
  <c r="BE50" i="2"/>
  <c r="BF50" i="2"/>
  <c r="BG50" i="2"/>
  <c r="BH50" i="2"/>
  <c r="BI50" i="2"/>
  <c r="A51" i="2"/>
  <c r="B51" i="2"/>
  <c r="C51" i="2"/>
  <c r="D51" i="2"/>
  <c r="E51" i="2"/>
  <c r="F51" i="2"/>
  <c r="G51" i="2"/>
  <c r="H51" i="2"/>
  <c r="J51" i="2"/>
  <c r="BB51" i="2"/>
  <c r="BC51" i="2"/>
  <c r="BD51" i="2"/>
  <c r="BE51" i="2"/>
  <c r="BF51" i="2"/>
  <c r="BG51" i="2"/>
  <c r="BH51" i="2"/>
  <c r="BI51" i="2"/>
  <c r="A52" i="2"/>
  <c r="B52" i="2"/>
  <c r="C52" i="2"/>
  <c r="D52" i="2"/>
  <c r="E52" i="2"/>
  <c r="F52" i="2"/>
  <c r="G52" i="2"/>
  <c r="H52" i="2"/>
  <c r="J52" i="2"/>
  <c r="BB52" i="2"/>
  <c r="BC52" i="2"/>
  <c r="BD52" i="2"/>
  <c r="BE52" i="2"/>
  <c r="BF52" i="2"/>
  <c r="BG52" i="2"/>
  <c r="BH52" i="2"/>
  <c r="BI52" i="2"/>
  <c r="A53" i="2"/>
  <c r="B53" i="2"/>
  <c r="C53" i="2"/>
  <c r="D53" i="2"/>
  <c r="E53" i="2"/>
  <c r="F53" i="2"/>
  <c r="G53" i="2"/>
  <c r="H53" i="2"/>
  <c r="J53" i="2"/>
  <c r="BB53" i="2"/>
  <c r="BC53" i="2"/>
  <c r="BD53" i="2"/>
  <c r="BE53" i="2"/>
  <c r="BF53" i="2"/>
  <c r="BG53" i="2"/>
  <c r="BH53" i="2"/>
  <c r="BI53" i="2"/>
  <c r="A54" i="2"/>
  <c r="B54" i="2"/>
  <c r="C54" i="2"/>
  <c r="D54" i="2"/>
  <c r="E54" i="2"/>
  <c r="F54" i="2"/>
  <c r="G54" i="2"/>
  <c r="H54" i="2"/>
  <c r="J54" i="2"/>
  <c r="BB54" i="2"/>
  <c r="BC54" i="2"/>
  <c r="BD54" i="2"/>
  <c r="BE54" i="2"/>
  <c r="BF54" i="2"/>
  <c r="BG54" i="2"/>
  <c r="BH54" i="2"/>
  <c r="BI54" i="2"/>
  <c r="A55" i="2"/>
  <c r="B55" i="2"/>
  <c r="C55" i="2"/>
  <c r="D55" i="2"/>
  <c r="E55" i="2"/>
  <c r="F55" i="2"/>
  <c r="G55" i="2"/>
  <c r="H55" i="2"/>
  <c r="J55" i="2"/>
  <c r="BB55" i="2"/>
  <c r="BC55" i="2"/>
  <c r="BD55" i="2"/>
  <c r="BE55" i="2"/>
  <c r="BF55" i="2"/>
  <c r="BG55" i="2"/>
  <c r="BH55" i="2"/>
  <c r="BI55" i="2"/>
  <c r="BB56" i="2"/>
  <c r="BC56" i="2"/>
  <c r="BD56" i="2"/>
  <c r="BE56" i="2"/>
  <c r="BF56" i="2"/>
  <c r="BG56" i="2"/>
  <c r="BH56" i="2"/>
  <c r="BI56" i="2"/>
  <c r="BB57" i="2"/>
  <c r="BC57" i="2"/>
  <c r="BD57" i="2"/>
  <c r="BE57" i="2"/>
  <c r="BF57" i="2"/>
  <c r="BG57" i="2"/>
  <c r="BH57" i="2"/>
  <c r="BI57" i="2"/>
  <c r="BB58" i="2"/>
  <c r="BC58" i="2"/>
  <c r="BD58" i="2"/>
  <c r="BE58" i="2"/>
  <c r="BF58" i="2"/>
  <c r="BG58" i="2"/>
  <c r="BH58" i="2"/>
  <c r="BI58" i="2"/>
  <c r="BB59" i="2"/>
  <c r="BC59" i="2"/>
  <c r="BD59" i="2"/>
  <c r="BE59" i="2"/>
  <c r="BF59" i="2"/>
  <c r="BG59" i="2"/>
  <c r="BH59" i="2"/>
  <c r="BI59" i="2"/>
  <c r="BB60" i="2"/>
  <c r="BC60" i="2"/>
  <c r="BD60" i="2"/>
  <c r="BE60" i="2"/>
  <c r="BF60" i="2"/>
  <c r="BG60" i="2"/>
  <c r="BH60" i="2"/>
  <c r="BI60" i="2"/>
  <c r="BB61" i="2"/>
  <c r="BC61" i="2"/>
  <c r="BD61" i="2"/>
  <c r="BE61" i="2"/>
  <c r="BF61" i="2"/>
  <c r="BG61" i="2"/>
  <c r="BH61" i="2"/>
  <c r="BI61" i="2"/>
  <c r="BB62" i="2"/>
  <c r="BC62" i="2"/>
  <c r="BD62" i="2"/>
  <c r="BE62" i="2"/>
  <c r="BF62" i="2"/>
  <c r="BG62" i="2"/>
  <c r="BH62" i="2"/>
  <c r="BI62" i="2"/>
  <c r="BB63" i="2"/>
  <c r="BC63" i="2"/>
  <c r="BD63" i="2"/>
  <c r="BE63" i="2"/>
  <c r="BF63" i="2"/>
  <c r="BG63" i="2"/>
  <c r="BH63" i="2"/>
  <c r="BI63" i="2"/>
  <c r="BB64" i="2"/>
  <c r="BC64" i="2"/>
  <c r="BD64" i="2"/>
  <c r="BE64" i="2"/>
  <c r="BF64" i="2"/>
  <c r="BG64" i="2"/>
  <c r="BH64" i="2"/>
  <c r="BI64" i="2"/>
</calcChain>
</file>

<file path=xl/sharedStrings.xml><?xml version="1.0" encoding="utf-8"?>
<sst xmlns="http://schemas.openxmlformats.org/spreadsheetml/2006/main" count="91" uniqueCount="85">
  <si>
    <t>ACC</t>
  </si>
  <si>
    <t>8 bit</t>
  </si>
  <si>
    <t>thing</t>
  </si>
  <si>
    <t>space</t>
  </si>
  <si>
    <t>what?</t>
  </si>
  <si>
    <t>holds data andd results of operations</t>
  </si>
  <si>
    <t>PC</t>
  </si>
  <si>
    <t>address</t>
  </si>
  <si>
    <t>holds address of next instruction (pointer to next instruction)</t>
  </si>
  <si>
    <t>full name</t>
  </si>
  <si>
    <t>accumulator</t>
  </si>
  <si>
    <t>program counter</t>
  </si>
  <si>
    <t>IR</t>
  </si>
  <si>
    <t>instruction register</t>
  </si>
  <si>
    <t>holds current instrucition code</t>
  </si>
  <si>
    <t>8bit???</t>
  </si>
  <si>
    <t>other…</t>
  </si>
  <si>
    <t>???</t>
  </si>
  <si>
    <t>B, C, D, E ect. Can hold temp data, FLAGS</t>
  </si>
  <si>
    <t>other registers</t>
  </si>
  <si>
    <t>SP</t>
  </si>
  <si>
    <t>stack pointer</t>
  </si>
  <si>
    <t>if very simple cpu it may not exist</t>
  </si>
  <si>
    <t>CPU</t>
  </si>
  <si>
    <t>ALU</t>
  </si>
  <si>
    <t>can add, sub, AND, OR, XOR, NOT… poduces FLAGS (zero, overflow…)</t>
  </si>
  <si>
    <t>CU</t>
  </si>
  <si>
    <t>control unit</t>
  </si>
  <si>
    <t>decodes instruction with Opcode</t>
  </si>
  <si>
    <t>RAM</t>
  </si>
  <si>
    <t>Random access memory</t>
  </si>
  <si>
    <t>long list of numbered boxes (each 8 bit) (16bit adress means 64kb memory)</t>
  </si>
  <si>
    <t>ROM</t>
  </si>
  <si>
    <t>read only memory</t>
  </si>
  <si>
    <t>basically storage for code…</t>
  </si>
  <si>
    <t>FLAG</t>
  </si>
  <si>
    <t>OPERAND</t>
  </si>
  <si>
    <t>TICK</t>
  </si>
  <si>
    <t>Opcode</t>
  </si>
  <si>
    <t>Name</t>
  </si>
  <si>
    <t>Usage</t>
  </si>
  <si>
    <t>0000</t>
  </si>
  <si>
    <t>0001</t>
  </si>
  <si>
    <t>0010</t>
  </si>
  <si>
    <t>0011</t>
  </si>
  <si>
    <t>0100</t>
  </si>
  <si>
    <t>0101</t>
  </si>
  <si>
    <t>LDA</t>
  </si>
  <si>
    <t>ACC &lt;- RAM[operand]</t>
  </si>
  <si>
    <t>ADD</t>
  </si>
  <si>
    <t>ACC &lt;- ACC + RAM[operand]</t>
  </si>
  <si>
    <t>SUB</t>
  </si>
  <si>
    <t>ACC &lt;- ACC - RAM[operand]</t>
  </si>
  <si>
    <t>STA</t>
  </si>
  <si>
    <t>RAM[operand] &lt;- ACC</t>
  </si>
  <si>
    <t>JMP</t>
  </si>
  <si>
    <t>JZ</t>
  </si>
  <si>
    <t>Jump if ZF = 1</t>
  </si>
  <si>
    <t>Jump</t>
  </si>
  <si>
    <t>PC_DEC</t>
  </si>
  <si>
    <t>OPERAND_DEC</t>
  </si>
  <si>
    <t>OPCODE_DEC</t>
  </si>
  <si>
    <t>ACC_DEC</t>
  </si>
  <si>
    <t>MEM_AT_OP</t>
  </si>
  <si>
    <t>NEW_ACC</t>
  </si>
  <si>
    <t>LOAD</t>
  </si>
  <si>
    <t>RESET?</t>
  </si>
  <si>
    <t>PC NEXT</t>
  </si>
  <si>
    <t>1111</t>
  </si>
  <si>
    <t>HALT</t>
  </si>
  <si>
    <t>Stops the PC</t>
  </si>
  <si>
    <t>Komentarai dėstytojui:</t>
  </si>
  <si>
    <t>RESET mygtuka kartais reikia kelis kartus paspaust, kad ZF issivalytu normaliai</t>
  </si>
  <si>
    <t>Prieš leidžiant programą įsitikinkite, kad prie file -&gt; options -&gt; formulas butu siti settingsai -&gt;</t>
  </si>
  <si>
    <t>Programos nerašykite į RAM ranka, nes ištrinsit formules ir skausmas jas atgal sudėt :DD</t>
  </si>
  <si>
    <t>Rašykite į ROM.</t>
  </si>
  <si>
    <t>Norint paleisti programą:</t>
  </si>
  <si>
    <t>1. Paspaudinėkite RESET kelis kartus</t>
  </si>
  <si>
    <t>2. LOAD</t>
  </si>
  <si>
    <t>3. Tada galite step arba run</t>
  </si>
  <si>
    <t>RUN turi apsaugą, kuri sustabdo macrosą kai PC pasiekia RAM pabaigą, kad nebūtų infinite loop</t>
  </si>
  <si>
    <t>Kompiuteris kai spaudinėjamas STEP priėjęs RAM pabaigą nueina vėl į pradžią ir nesustoja kol negauna 1111 (HALT)</t>
  </si>
  <si>
    <t>RESETINA ROM</t>
  </si>
  <si>
    <t>NESPAUSTI NEBENT TIKRAI NORITE PRARASTI PROGRAMĄ</t>
  </si>
  <si>
    <t>ši pavyzdinė programa sudaugina skaičius 14 ir 15 eilutėse ir rašo atsakymą į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</si>
</sst>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</font>
    <font>
      <b/>
      <sz val="11"/>
      <color rgb="FF99CC00"/>
      <name val="Aptos Narrow"/>
      <family val="2"/>
    </font>
    <font>
      <sz val="11"/>
      <color rgb="FF000000"/>
      <name val="Aptos Narrow"/>
      <family val="2"/>
    </font>
    <font>
      <b/>
      <sz val="11"/>
      <color rgb="FF008000"/>
      <name val="Aptos Narrow"/>
      <family val="2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theme="1"/>
      </left>
      <right/>
      <top style="thick">
        <color theme="1"/>
      </top>
      <bottom style="thick">
        <color theme="1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ck">
        <color theme="1"/>
      </left>
      <right/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3" xfId="0" applyNumberFormat="1" applyBorder="1"/>
    <xf numFmtId="49" fontId="0" fillId="0" borderId="4" xfId="0" applyNumberFormat="1" applyBorder="1"/>
    <xf numFmtId="49" fontId="0" fillId="0" borderId="5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0" borderId="6" xfId="0" applyFont="1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18" xfId="0" applyBorder="1"/>
    <xf numFmtId="0" fontId="0" fillId="0" borderId="20" xfId="0" applyBorder="1"/>
    <xf numFmtId="0" fontId="1" fillId="0" borderId="2" xfId="0" applyFont="1" applyBorder="1" applyAlignment="1">
      <alignment horizontal="right"/>
    </xf>
    <xf numFmtId="0" fontId="1" fillId="0" borderId="22" xfId="0" applyFont="1" applyBorder="1" applyAlignment="1">
      <alignment horizontal="right"/>
    </xf>
    <xf numFmtId="0" fontId="0" fillId="0" borderId="23" xfId="0" applyBorder="1" applyAlignment="1">
      <alignment horizontal="center" vertical="center"/>
    </xf>
    <xf numFmtId="0" fontId="1" fillId="0" borderId="21" xfId="0" applyFont="1" applyBorder="1" applyAlignment="1">
      <alignment horizontal="right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5" xfId="0" applyBorder="1" applyAlignment="1">
      <alignment horizontal="right"/>
    </xf>
    <xf numFmtId="0" fontId="0" fillId="0" borderId="5" xfId="0" applyBorder="1" applyAlignment="1">
      <alignment horizontal="center" vertical="center" wrapText="1"/>
    </xf>
    <xf numFmtId="0" fontId="1" fillId="0" borderId="5" xfId="0" applyFont="1" applyBorder="1" applyAlignment="1">
      <alignment horizontal="right"/>
    </xf>
    <xf numFmtId="0" fontId="0" fillId="0" borderId="5" xfId="0" applyBorder="1" applyAlignment="1">
      <alignment horizontal="center" vertical="center"/>
    </xf>
  </cellXfs>
  <cellStyles count="1">
    <cellStyle name="Normal" xfId="0" builtinId="0"/>
  </cellStyles>
  <dxfs count="6">
    <dxf>
      <fill>
        <patternFill>
          <bgColor theme="5" tint="0.39994506668294322"/>
        </patternFill>
      </fill>
    </dxf>
    <dxf>
      <font>
        <color theme="0" tint="-0.1499679555650502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color theme="0" tint="-0.1499679555650502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color theme="0" tint="-0.14996795556505021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977900</xdr:colOff>
          <xdr:row>32</xdr:row>
          <xdr:rowOff>190500</xdr:rowOff>
        </xdr:from>
        <xdr:to>
          <xdr:col>14</xdr:col>
          <xdr:colOff>0</xdr:colOff>
          <xdr:row>35</xdr:row>
          <xdr:rowOff>6350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CC00"/>
                  </a:solidFill>
                  <a:latin typeface="Aptos Narrow"/>
                </a:rPr>
                <a:t>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</xdr:colOff>
          <xdr:row>31</xdr:row>
          <xdr:rowOff>0</xdr:rowOff>
        </xdr:from>
        <xdr:to>
          <xdr:col>14</xdr:col>
          <xdr:colOff>6350</xdr:colOff>
          <xdr:row>32</xdr:row>
          <xdr:rowOff>196850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</xdr:colOff>
          <xdr:row>29</xdr:row>
          <xdr:rowOff>12700</xdr:rowOff>
        </xdr:from>
        <xdr:to>
          <xdr:col>13</xdr:col>
          <xdr:colOff>279400</xdr:colOff>
          <xdr:row>31</xdr:row>
          <xdr:rowOff>6350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6350</xdr:colOff>
          <xdr:row>33</xdr:row>
          <xdr:rowOff>6350</xdr:rowOff>
        </xdr:from>
        <xdr:to>
          <xdr:col>17</xdr:col>
          <xdr:colOff>0</xdr:colOff>
          <xdr:row>35</xdr:row>
          <xdr:rowOff>6350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679450</xdr:colOff>
          <xdr:row>0</xdr:row>
          <xdr:rowOff>0</xdr:rowOff>
        </xdr:from>
        <xdr:to>
          <xdr:col>44</xdr:col>
          <xdr:colOff>44450</xdr:colOff>
          <xdr:row>1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Aptos Narrow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232834</xdr:colOff>
      <xdr:row>36</xdr:row>
      <xdr:rowOff>155222</xdr:rowOff>
    </xdr:from>
    <xdr:to>
      <xdr:col>46</xdr:col>
      <xdr:colOff>127001</xdr:colOff>
      <xdr:row>41</xdr:row>
      <xdr:rowOff>31169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0B1F1B7-39B5-BB80-56A9-58E2C5F2C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49778" y="7267222"/>
          <a:ext cx="2032001" cy="8637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2A6A1-92EC-4A5F-A35E-DCA71AC75E16}">
  <sheetPr codeName="Sheet1"/>
  <dimension ref="A1:D15"/>
  <sheetViews>
    <sheetView workbookViewId="0">
      <selection activeCell="A17" sqref="A17"/>
    </sheetView>
  </sheetViews>
  <sheetFormatPr defaultRowHeight="14.5" x14ac:dyDescent="0.35"/>
  <cols>
    <col min="3" max="3" width="70.08984375" customWidth="1"/>
    <col min="4" max="4" width="26.26953125" customWidth="1"/>
  </cols>
  <sheetData>
    <row r="1" spans="1:4" x14ac:dyDescent="0.35">
      <c r="A1" s="1" t="s">
        <v>2</v>
      </c>
      <c r="B1" s="1" t="s">
        <v>3</v>
      </c>
      <c r="C1" s="1" t="s">
        <v>4</v>
      </c>
      <c r="D1" s="1" t="s">
        <v>9</v>
      </c>
    </row>
    <row r="2" spans="1:4" x14ac:dyDescent="0.35">
      <c r="A2" s="1" t="s">
        <v>23</v>
      </c>
    </row>
    <row r="3" spans="1:4" x14ac:dyDescent="0.35">
      <c r="A3" t="s">
        <v>0</v>
      </c>
      <c r="B3" t="s">
        <v>1</v>
      </c>
      <c r="C3" t="s">
        <v>5</v>
      </c>
      <c r="D3" t="s">
        <v>10</v>
      </c>
    </row>
    <row r="4" spans="1:4" x14ac:dyDescent="0.35">
      <c r="A4" t="s">
        <v>6</v>
      </c>
      <c r="B4" t="s">
        <v>7</v>
      </c>
      <c r="C4" t="s">
        <v>8</v>
      </c>
      <c r="D4" t="s">
        <v>11</v>
      </c>
    </row>
    <row r="5" spans="1:4" x14ac:dyDescent="0.35">
      <c r="A5" t="s">
        <v>12</v>
      </c>
      <c r="B5" t="s">
        <v>15</v>
      </c>
      <c r="C5" t="s">
        <v>14</v>
      </c>
      <c r="D5" t="s">
        <v>13</v>
      </c>
    </row>
    <row r="6" spans="1:4" x14ac:dyDescent="0.35">
      <c r="A6" t="s">
        <v>16</v>
      </c>
      <c r="B6" t="s">
        <v>17</v>
      </c>
      <c r="C6" t="s">
        <v>18</v>
      </c>
      <c r="D6" t="s">
        <v>19</v>
      </c>
    </row>
    <row r="7" spans="1:4" x14ac:dyDescent="0.35">
      <c r="A7" t="s">
        <v>20</v>
      </c>
      <c r="C7" t="s">
        <v>22</v>
      </c>
      <c r="D7" t="s">
        <v>21</v>
      </c>
    </row>
    <row r="9" spans="1:4" x14ac:dyDescent="0.35">
      <c r="A9" s="1" t="s">
        <v>24</v>
      </c>
      <c r="B9" t="s">
        <v>1</v>
      </c>
      <c r="C9" t="s">
        <v>25</v>
      </c>
    </row>
    <row r="11" spans="1:4" x14ac:dyDescent="0.35">
      <c r="A11" s="1" t="s">
        <v>26</v>
      </c>
      <c r="C11" t="s">
        <v>28</v>
      </c>
      <c r="D11" t="s">
        <v>27</v>
      </c>
    </row>
    <row r="13" spans="1:4" x14ac:dyDescent="0.35">
      <c r="A13" s="1" t="s">
        <v>29</v>
      </c>
      <c r="C13" t="s">
        <v>31</v>
      </c>
      <c r="D13" t="s">
        <v>30</v>
      </c>
    </row>
    <row r="15" spans="1:4" x14ac:dyDescent="0.35">
      <c r="A15" s="1" t="s">
        <v>32</v>
      </c>
      <c r="C15" t="s">
        <v>34</v>
      </c>
      <c r="D15" t="s">
        <v>33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A46D5-4243-450C-975D-380068434868}">
  <sheetPr codeName="Sheet2"/>
  <dimension ref="A1:BI100"/>
  <sheetViews>
    <sheetView tabSelected="1" zoomScale="90" zoomScaleNormal="85" workbookViewId="0">
      <selection activeCell="L26" sqref="L26"/>
    </sheetView>
  </sheetViews>
  <sheetFormatPr defaultColWidth="2.81640625" defaultRowHeight="15.5" customHeight="1" x14ac:dyDescent="0.35"/>
  <cols>
    <col min="1" max="8" width="3.08984375" bestFit="1" customWidth="1"/>
    <col min="9" max="9" width="3.6328125" customWidth="1"/>
    <col min="10" max="10" width="7.08984375" customWidth="1"/>
    <col min="11" max="11" width="14" customWidth="1"/>
    <col min="12" max="19" width="4" customWidth="1"/>
    <col min="20" max="21" width="3.08984375" bestFit="1" customWidth="1"/>
    <col min="22" max="22" width="3.81640625" bestFit="1" customWidth="1"/>
    <col min="23" max="23" width="3.08984375" bestFit="1" customWidth="1"/>
    <col min="24" max="24" width="8.81640625" bestFit="1" customWidth="1"/>
    <col min="25" max="25" width="4.08984375" bestFit="1" customWidth="1"/>
    <col min="26" max="27" width="4" bestFit="1" customWidth="1"/>
    <col min="28" max="28" width="8.54296875" customWidth="1"/>
    <col min="29" max="29" width="5.90625" customWidth="1"/>
    <col min="30" max="30" width="27.90625" customWidth="1"/>
    <col min="42" max="42" width="3.453125" customWidth="1"/>
    <col min="43" max="47" width="10.1796875" customWidth="1"/>
  </cols>
  <sheetData>
    <row r="1" spans="1:44" ht="15.5" customHeight="1" thickBot="1" x14ac:dyDescent="0.4">
      <c r="A1" s="18"/>
      <c r="B1" s="19"/>
      <c r="C1" s="19"/>
      <c r="D1" s="19"/>
      <c r="E1" s="19"/>
      <c r="F1" s="19"/>
      <c r="G1" s="19"/>
      <c r="H1" s="19"/>
      <c r="I1" s="20"/>
      <c r="J1" s="18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20"/>
      <c r="AB1" s="4" t="s">
        <v>38</v>
      </c>
      <c r="AC1" s="4" t="s">
        <v>39</v>
      </c>
      <c r="AD1" s="4" t="s">
        <v>40</v>
      </c>
      <c r="AF1" s="18">
        <v>0</v>
      </c>
      <c r="AG1" s="19">
        <v>0</v>
      </c>
      <c r="AH1" s="19">
        <v>0</v>
      </c>
      <c r="AI1" s="28">
        <v>0</v>
      </c>
      <c r="AJ1" s="19">
        <v>1</v>
      </c>
      <c r="AK1" s="19">
        <v>1</v>
      </c>
      <c r="AL1" s="19">
        <v>1</v>
      </c>
      <c r="AM1" s="20">
        <v>1</v>
      </c>
      <c r="AN1" s="10">
        <v>0</v>
      </c>
      <c r="AO1" s="18">
        <f>AF1*8+AG1*4+AH1*2+AI1*1</f>
        <v>0</v>
      </c>
      <c r="AP1" s="20">
        <f>AJ1*8+AK1*4+AL1*2+AM1*1</f>
        <v>15</v>
      </c>
    </row>
    <row r="2" spans="1:44" ht="15.5" customHeight="1" x14ac:dyDescent="0.35">
      <c r="A2" s="21"/>
      <c r="I2" s="22"/>
      <c r="J2" s="21"/>
      <c r="Z2" s="22"/>
      <c r="AB2" s="7" t="s">
        <v>41</v>
      </c>
      <c r="AC2" s="10" t="s">
        <v>47</v>
      </c>
      <c r="AD2" s="10" t="s">
        <v>48</v>
      </c>
      <c r="AF2" s="21">
        <v>0</v>
      </c>
      <c r="AG2">
        <v>0</v>
      </c>
      <c r="AH2">
        <v>1</v>
      </c>
      <c r="AI2" s="26">
        <v>1</v>
      </c>
      <c r="AJ2">
        <v>1</v>
      </c>
      <c r="AK2">
        <v>1</v>
      </c>
      <c r="AL2">
        <v>0</v>
      </c>
      <c r="AM2" s="22">
        <v>1</v>
      </c>
      <c r="AN2" s="11">
        <v>1</v>
      </c>
      <c r="AO2" s="21">
        <f t="shared" ref="AO2:AO16" si="0">AF2*8+AG2*4+AH2*2+AI2*1</f>
        <v>3</v>
      </c>
      <c r="AP2" s="22">
        <f t="shared" ref="AP2:AP16" si="1">AJ2*8+AK2*4+AL2*2+AM2*1</f>
        <v>13</v>
      </c>
      <c r="AR2" s="1" t="s">
        <v>82</v>
      </c>
    </row>
    <row r="3" spans="1:44" ht="15.5" customHeight="1" x14ac:dyDescent="0.35">
      <c r="A3" s="21"/>
      <c r="I3" s="22"/>
      <c r="J3" s="21"/>
      <c r="Z3" s="22"/>
      <c r="AB3" s="8" t="s">
        <v>42</v>
      </c>
      <c r="AC3" s="11" t="s">
        <v>49</v>
      </c>
      <c r="AD3" s="11" t="s">
        <v>50</v>
      </c>
      <c r="AF3" s="21">
        <v>0</v>
      </c>
      <c r="AG3">
        <v>0</v>
      </c>
      <c r="AH3">
        <v>0</v>
      </c>
      <c r="AI3" s="26">
        <v>0</v>
      </c>
      <c r="AJ3">
        <v>1</v>
      </c>
      <c r="AK3">
        <v>1</v>
      </c>
      <c r="AL3">
        <v>1</v>
      </c>
      <c r="AM3" s="22">
        <v>0</v>
      </c>
      <c r="AN3" s="11">
        <v>2</v>
      </c>
      <c r="AO3" s="21">
        <f t="shared" si="0"/>
        <v>0</v>
      </c>
      <c r="AP3" s="22">
        <f t="shared" si="1"/>
        <v>14</v>
      </c>
      <c r="AR3" s="1" t="s">
        <v>83</v>
      </c>
    </row>
    <row r="4" spans="1:44" ht="15.5" customHeight="1" x14ac:dyDescent="0.35">
      <c r="A4" s="21"/>
      <c r="I4" s="22"/>
      <c r="J4" s="21"/>
      <c r="Z4" s="22"/>
      <c r="AB4" s="8" t="s">
        <v>43</v>
      </c>
      <c r="AC4" s="11" t="s">
        <v>51</v>
      </c>
      <c r="AD4" s="11" t="s">
        <v>52</v>
      </c>
      <c r="AF4" s="21">
        <v>0</v>
      </c>
      <c r="AG4">
        <v>0</v>
      </c>
      <c r="AH4">
        <v>1</v>
      </c>
      <c r="AI4" s="26">
        <v>0</v>
      </c>
      <c r="AJ4">
        <v>1</v>
      </c>
      <c r="AK4">
        <v>1</v>
      </c>
      <c r="AL4">
        <v>0</v>
      </c>
      <c r="AM4" s="22">
        <v>0</v>
      </c>
      <c r="AN4" s="11">
        <v>3</v>
      </c>
      <c r="AO4" s="21">
        <f t="shared" si="0"/>
        <v>2</v>
      </c>
      <c r="AP4" s="22">
        <f t="shared" si="1"/>
        <v>12</v>
      </c>
    </row>
    <row r="5" spans="1:44" ht="15.5" customHeight="1" x14ac:dyDescent="0.35">
      <c r="A5" s="21"/>
      <c r="I5" s="22"/>
      <c r="J5" s="21"/>
      <c r="Z5" s="22"/>
      <c r="AB5" s="8" t="s">
        <v>44</v>
      </c>
      <c r="AC5" s="11" t="s">
        <v>53</v>
      </c>
      <c r="AD5" s="11" t="s">
        <v>54</v>
      </c>
      <c r="AF5" s="21">
        <v>0</v>
      </c>
      <c r="AG5">
        <v>1</v>
      </c>
      <c r="AH5">
        <v>0</v>
      </c>
      <c r="AI5" s="26">
        <v>1</v>
      </c>
      <c r="AJ5">
        <v>1</v>
      </c>
      <c r="AK5">
        <v>1</v>
      </c>
      <c r="AL5">
        <v>1</v>
      </c>
      <c r="AM5" s="22">
        <v>1</v>
      </c>
      <c r="AN5" s="11">
        <v>4</v>
      </c>
      <c r="AO5" s="21">
        <f t="shared" si="0"/>
        <v>5</v>
      </c>
      <c r="AP5" s="22">
        <f t="shared" si="1"/>
        <v>15</v>
      </c>
    </row>
    <row r="6" spans="1:44" ht="15.5" customHeight="1" x14ac:dyDescent="0.35">
      <c r="A6" s="21"/>
      <c r="I6" s="22"/>
      <c r="J6" s="21"/>
      <c r="Z6" s="22"/>
      <c r="AB6" s="8" t="s">
        <v>45</v>
      </c>
      <c r="AC6" s="11" t="s">
        <v>55</v>
      </c>
      <c r="AD6" s="11" t="s">
        <v>58</v>
      </c>
      <c r="AF6" s="21">
        <v>0</v>
      </c>
      <c r="AG6">
        <v>0</v>
      </c>
      <c r="AH6">
        <v>1</v>
      </c>
      <c r="AI6" s="26">
        <v>1</v>
      </c>
      <c r="AJ6">
        <v>1</v>
      </c>
      <c r="AK6">
        <v>1</v>
      </c>
      <c r="AL6">
        <v>1</v>
      </c>
      <c r="AM6" s="22">
        <v>0</v>
      </c>
      <c r="AN6" s="11">
        <v>5</v>
      </c>
      <c r="AO6" s="21">
        <f t="shared" si="0"/>
        <v>3</v>
      </c>
      <c r="AP6" s="22">
        <f t="shared" si="1"/>
        <v>14</v>
      </c>
    </row>
    <row r="7" spans="1:44" ht="15.5" customHeight="1" x14ac:dyDescent="0.35">
      <c r="A7" s="21"/>
      <c r="I7" s="22"/>
      <c r="J7" s="21"/>
      <c r="Z7" s="22"/>
      <c r="AB7" s="8" t="s">
        <v>46</v>
      </c>
      <c r="AC7" s="11" t="s">
        <v>56</v>
      </c>
      <c r="AD7" s="11" t="s">
        <v>57</v>
      </c>
      <c r="AF7" s="21">
        <v>0</v>
      </c>
      <c r="AG7">
        <v>0</v>
      </c>
      <c r="AH7">
        <v>0</v>
      </c>
      <c r="AI7" s="26">
        <v>0</v>
      </c>
      <c r="AJ7">
        <v>1</v>
      </c>
      <c r="AK7">
        <v>1</v>
      </c>
      <c r="AL7">
        <v>0</v>
      </c>
      <c r="AM7" s="22">
        <v>1</v>
      </c>
      <c r="AN7" s="11">
        <v>6</v>
      </c>
      <c r="AO7" s="21">
        <f t="shared" si="0"/>
        <v>0</v>
      </c>
      <c r="AP7" s="22">
        <f t="shared" si="1"/>
        <v>13</v>
      </c>
    </row>
    <row r="8" spans="1:44" ht="15.5" customHeight="1" x14ac:dyDescent="0.35">
      <c r="A8" s="21"/>
      <c r="I8" s="22"/>
      <c r="J8" s="21"/>
      <c r="Z8" s="22"/>
      <c r="AB8" s="8"/>
      <c r="AC8" s="11"/>
      <c r="AD8" s="11"/>
      <c r="AF8" s="21">
        <v>0</v>
      </c>
      <c r="AG8">
        <v>0</v>
      </c>
      <c r="AH8">
        <v>0</v>
      </c>
      <c r="AI8" s="26">
        <v>1</v>
      </c>
      <c r="AJ8">
        <v>1</v>
      </c>
      <c r="AK8">
        <v>1</v>
      </c>
      <c r="AL8">
        <v>1</v>
      </c>
      <c r="AM8" s="22">
        <v>1</v>
      </c>
      <c r="AN8" s="11">
        <v>7</v>
      </c>
      <c r="AO8" s="21">
        <f t="shared" si="0"/>
        <v>1</v>
      </c>
      <c r="AP8" s="22">
        <f t="shared" si="1"/>
        <v>15</v>
      </c>
    </row>
    <row r="9" spans="1:44" ht="15.5" customHeight="1" thickBot="1" x14ac:dyDescent="0.4">
      <c r="A9" s="23"/>
      <c r="B9" s="24"/>
      <c r="C9" s="24"/>
      <c r="D9" s="24"/>
      <c r="E9" s="24"/>
      <c r="F9" s="24"/>
      <c r="G9" s="24"/>
      <c r="H9" s="24"/>
      <c r="I9" s="25"/>
      <c r="J9" s="23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5"/>
      <c r="AB9" s="8"/>
      <c r="AC9" s="11"/>
      <c r="AD9" s="11"/>
      <c r="AF9" s="21">
        <v>0</v>
      </c>
      <c r="AG9">
        <v>0</v>
      </c>
      <c r="AH9">
        <v>1</v>
      </c>
      <c r="AI9" s="26">
        <v>1</v>
      </c>
      <c r="AJ9">
        <v>1</v>
      </c>
      <c r="AK9">
        <v>1</v>
      </c>
      <c r="AL9">
        <v>0</v>
      </c>
      <c r="AM9" s="22">
        <v>1</v>
      </c>
      <c r="AN9" s="11">
        <v>8</v>
      </c>
      <c r="AO9" s="21">
        <f t="shared" si="0"/>
        <v>3</v>
      </c>
      <c r="AP9" s="22">
        <f t="shared" si="1"/>
        <v>13</v>
      </c>
    </row>
    <row r="10" spans="1:44" ht="15.5" customHeight="1" thickBot="1" x14ac:dyDescent="0.4">
      <c r="K10" s="44" t="s">
        <v>65</v>
      </c>
      <c r="L10" s="45">
        <v>0</v>
      </c>
      <c r="AB10" s="8"/>
      <c r="AC10" s="11"/>
      <c r="AD10" s="11"/>
      <c r="AF10" s="21">
        <v>0</v>
      </c>
      <c r="AG10">
        <v>1</v>
      </c>
      <c r="AH10">
        <v>0</v>
      </c>
      <c r="AI10" s="26">
        <v>0</v>
      </c>
      <c r="AJ10">
        <v>0</v>
      </c>
      <c r="AK10">
        <v>0</v>
      </c>
      <c r="AL10">
        <v>1</v>
      </c>
      <c r="AM10" s="22">
        <v>0</v>
      </c>
      <c r="AN10" s="11">
        <v>9</v>
      </c>
      <c r="AO10" s="21">
        <f t="shared" si="0"/>
        <v>4</v>
      </c>
      <c r="AP10" s="22">
        <f t="shared" si="1"/>
        <v>2</v>
      </c>
    </row>
    <row r="11" spans="1:44" ht="15.5" customHeight="1" thickBot="1" x14ac:dyDescent="0.4">
      <c r="K11" s="29" t="s">
        <v>66</v>
      </c>
      <c r="L11" s="5">
        <v>0</v>
      </c>
      <c r="AB11" s="8"/>
      <c r="AC11" s="11"/>
      <c r="AD11" s="11"/>
      <c r="AF11" s="21">
        <v>0</v>
      </c>
      <c r="AG11">
        <v>0</v>
      </c>
      <c r="AH11">
        <v>0</v>
      </c>
      <c r="AI11" s="26">
        <v>0</v>
      </c>
      <c r="AJ11">
        <v>0</v>
      </c>
      <c r="AK11">
        <v>0</v>
      </c>
      <c r="AL11">
        <v>0</v>
      </c>
      <c r="AM11" s="22">
        <v>0</v>
      </c>
      <c r="AN11" s="11">
        <v>10</v>
      </c>
      <c r="AO11" s="21">
        <f t="shared" si="0"/>
        <v>0</v>
      </c>
      <c r="AP11" s="22">
        <f t="shared" si="1"/>
        <v>0</v>
      </c>
    </row>
    <row r="12" spans="1:44" ht="15.5" customHeight="1" thickBot="1" x14ac:dyDescent="0.4">
      <c r="K12" s="29" t="s">
        <v>37</v>
      </c>
      <c r="L12" s="5">
        <v>0</v>
      </c>
      <c r="AB12" s="8"/>
      <c r="AC12" s="11"/>
      <c r="AD12" s="11"/>
      <c r="AF12" s="21">
        <v>0</v>
      </c>
      <c r="AG12">
        <v>0</v>
      </c>
      <c r="AH12">
        <v>0</v>
      </c>
      <c r="AI12" s="26">
        <v>0</v>
      </c>
      <c r="AJ12">
        <v>0</v>
      </c>
      <c r="AK12">
        <v>0</v>
      </c>
      <c r="AL12">
        <v>0</v>
      </c>
      <c r="AM12" s="22">
        <v>0</v>
      </c>
      <c r="AN12" s="11">
        <v>11</v>
      </c>
      <c r="AO12" s="21">
        <f t="shared" si="0"/>
        <v>0</v>
      </c>
      <c r="AP12" s="22">
        <f t="shared" si="1"/>
        <v>0</v>
      </c>
    </row>
    <row r="13" spans="1:44" ht="15.5" customHeight="1" thickBot="1" x14ac:dyDescent="0.4">
      <c r="AB13" s="8"/>
      <c r="AC13" s="11"/>
      <c r="AD13" s="11"/>
      <c r="AF13" s="21">
        <v>0</v>
      </c>
      <c r="AG13">
        <v>0</v>
      </c>
      <c r="AH13">
        <v>0</v>
      </c>
      <c r="AI13" s="26">
        <v>0</v>
      </c>
      <c r="AJ13">
        <v>0</v>
      </c>
      <c r="AK13">
        <v>0</v>
      </c>
      <c r="AL13">
        <v>0</v>
      </c>
      <c r="AM13" s="22">
        <v>1</v>
      </c>
      <c r="AN13" s="11">
        <v>12</v>
      </c>
      <c r="AO13" s="21">
        <f t="shared" si="0"/>
        <v>0</v>
      </c>
      <c r="AP13" s="22">
        <f t="shared" si="1"/>
        <v>1</v>
      </c>
    </row>
    <row r="14" spans="1:44" ht="15.5" customHeight="1" thickTop="1" thickBot="1" x14ac:dyDescent="0.4">
      <c r="K14" s="32" t="s">
        <v>6</v>
      </c>
      <c r="L14" s="13">
        <f ca="1">IF($L$11=1,0,IF(_xlfn.BITAND($L$16,128)&gt;0,1,0))</f>
        <v>0</v>
      </c>
      <c r="M14" s="14">
        <f ca="1">IF($L$11=1,0,IF(_xlfn.BITAND($L$16,64)&gt;0,1,0))</f>
        <v>0</v>
      </c>
      <c r="N14" s="14">
        <f ca="1">IF($L$11=1,0,IF(_xlfn.BITAND($L$16,32)&gt;0,1,0))</f>
        <v>0</v>
      </c>
      <c r="O14" s="14">
        <f ca="1">IF($L$11=1,0,IF(_xlfn.BITAND($L$16,16)&gt;0,1,0))</f>
        <v>0</v>
      </c>
      <c r="P14" s="14">
        <f ca="1">IF($L$11=1,0,IF(_xlfn.BITAND($L$16,8)&gt;0,1,0))</f>
        <v>0</v>
      </c>
      <c r="Q14" s="14">
        <f ca="1">IF($L$11=1,0,IF(_xlfn.BITAND($L$16,4)&gt;0,1,0))</f>
        <v>0</v>
      </c>
      <c r="R14" s="14">
        <f ca="1">IF($L$11=1,0,IF(_xlfn.BITAND($L$16,2)&gt;0,1,0))</f>
        <v>0</v>
      </c>
      <c r="S14" s="15">
        <f ca="1">IF($L$11=1,0,IF(_xlfn.BITAND($L$16,1)&gt;0,1,0))</f>
        <v>0</v>
      </c>
      <c r="AB14" s="8"/>
      <c r="AC14" s="11"/>
      <c r="AD14" s="11"/>
      <c r="AF14" s="21">
        <v>0</v>
      </c>
      <c r="AG14">
        <v>0</v>
      </c>
      <c r="AH14">
        <v>0</v>
      </c>
      <c r="AI14" s="26">
        <v>0</v>
      </c>
      <c r="AJ14">
        <v>0</v>
      </c>
      <c r="AK14">
        <v>0</v>
      </c>
      <c r="AL14">
        <v>0</v>
      </c>
      <c r="AM14" s="22">
        <v>0</v>
      </c>
      <c r="AN14" s="11">
        <v>13</v>
      </c>
      <c r="AO14" s="21">
        <f t="shared" si="0"/>
        <v>0</v>
      </c>
      <c r="AP14" s="22">
        <f t="shared" si="1"/>
        <v>0</v>
      </c>
    </row>
    <row r="15" spans="1:44" ht="15.5" customHeight="1" thickTop="1" thickBot="1" x14ac:dyDescent="0.4">
      <c r="K15" s="42" t="s">
        <v>67</v>
      </c>
      <c r="L15" s="43">
        <f ca="1">IF($L$11=1,0,IF($L$20=15,$L$16,IF($L$20=4,$L$21,IF(AND($L$20=5,$L$26=1),$L$21,IF($L$12=1,MOD($L$16+1,16),$L$15)))))</f>
        <v>0</v>
      </c>
      <c r="AB15" s="8"/>
      <c r="AC15" s="11"/>
      <c r="AD15" s="11"/>
      <c r="AF15" s="21">
        <v>0</v>
      </c>
      <c r="AG15">
        <v>0</v>
      </c>
      <c r="AH15">
        <v>0</v>
      </c>
      <c r="AI15" s="26">
        <v>0</v>
      </c>
      <c r="AJ15">
        <v>1</v>
      </c>
      <c r="AK15">
        <v>0</v>
      </c>
      <c r="AL15">
        <v>1</v>
      </c>
      <c r="AM15" s="22">
        <v>1</v>
      </c>
      <c r="AN15" s="11">
        <v>14</v>
      </c>
      <c r="AO15" s="21">
        <f t="shared" si="0"/>
        <v>0</v>
      </c>
      <c r="AP15" s="22">
        <f t="shared" si="1"/>
        <v>11</v>
      </c>
    </row>
    <row r="16" spans="1:44" ht="15.5" customHeight="1" thickBot="1" x14ac:dyDescent="0.4">
      <c r="K16" s="17" t="s">
        <v>59</v>
      </c>
      <c r="L16" s="5">
        <f ca="1">IF(L11=1, 0, IF(TICK=2, PC_NEXT, L16))</f>
        <v>0</v>
      </c>
      <c r="AB16" s="8"/>
      <c r="AC16" s="11"/>
      <c r="AD16" s="11"/>
      <c r="AF16" s="23">
        <v>0</v>
      </c>
      <c r="AG16" s="24">
        <v>0</v>
      </c>
      <c r="AH16" s="24">
        <v>0</v>
      </c>
      <c r="AI16" s="27">
        <v>1</v>
      </c>
      <c r="AJ16" s="24">
        <v>0</v>
      </c>
      <c r="AK16" s="24">
        <v>1</v>
      </c>
      <c r="AL16" s="24">
        <v>0</v>
      </c>
      <c r="AM16" s="25">
        <v>1</v>
      </c>
      <c r="AN16" s="12">
        <v>15</v>
      </c>
      <c r="AO16" s="23">
        <f t="shared" si="0"/>
        <v>1</v>
      </c>
      <c r="AP16" s="25">
        <f t="shared" si="1"/>
        <v>5</v>
      </c>
    </row>
    <row r="17" spans="11:47" ht="15.5" customHeight="1" thickTop="1" thickBot="1" x14ac:dyDescent="0.4">
      <c r="K17" s="30" t="s">
        <v>12</v>
      </c>
      <c r="L17" s="31">
        <f ca="1">IF($L$11=1,0,IF($L$12=1,INDEX($A$40:$H$55,L16+1,1),L17))</f>
        <v>0</v>
      </c>
      <c r="M17" s="14">
        <f ca="1">IF($L$11=1,0,IF($L$12=1,INDEX($A$40:$H$55,L16+1,2),M17))</f>
        <v>0</v>
      </c>
      <c r="N17" s="14">
        <f ca="1">IF($L$11=1,0,IF($L$12=1,INDEX($A$40:$H$55,L16+1,3),N17))</f>
        <v>0</v>
      </c>
      <c r="O17" s="14">
        <f ca="1">IF($L$11=1,0,IF($L$12=1,INDEX($A$40:$H$55,L16+1,4),O17))</f>
        <v>0</v>
      </c>
      <c r="P17" s="14">
        <f ca="1">IF($L$11=1,0,IF($L$12=1,INDEX($A$40:$H$55,L16+1,5),P17))</f>
        <v>0</v>
      </c>
      <c r="Q17" s="14">
        <f ca="1">IF($L$11=1,0,IF($L$12=1,INDEX($A$40:$H$55,L16+1,6),Q17))</f>
        <v>0</v>
      </c>
      <c r="R17" s="14">
        <f ca="1">IF($L$11=1,0,IF($L$12=1,INDEX($A$40:$H$55,L16+1,7),R17))</f>
        <v>0</v>
      </c>
      <c r="S17" s="15">
        <f ca="1">IF($L$11=1,0,IF($L$12=1,INDEX($A$40:$H$55,L16+1,8),S17))</f>
        <v>0</v>
      </c>
      <c r="AB17" s="9" t="s">
        <v>68</v>
      </c>
      <c r="AC17" s="12" t="s">
        <v>69</v>
      </c>
      <c r="AD17" s="12" t="s">
        <v>70</v>
      </c>
      <c r="AF17" s="1" t="s">
        <v>32</v>
      </c>
    </row>
    <row r="18" spans="11:47" ht="15.5" customHeight="1" thickTop="1" thickBot="1" x14ac:dyDescent="0.4">
      <c r="AF18" t="s">
        <v>84</v>
      </c>
      <c r="AP18" s="33"/>
      <c r="AQ18" s="33"/>
      <c r="AR18" s="33"/>
      <c r="AS18" s="33"/>
      <c r="AT18" s="33"/>
      <c r="AU18" s="33"/>
    </row>
    <row r="19" spans="11:47" ht="15.5" customHeight="1" thickTop="1" thickBot="1" x14ac:dyDescent="0.4">
      <c r="K19" s="16" t="s">
        <v>36</v>
      </c>
      <c r="L19" s="13">
        <f>0</f>
        <v>0</v>
      </c>
      <c r="M19" s="14">
        <f>0</f>
        <v>0</v>
      </c>
      <c r="N19" s="14">
        <f>0</f>
        <v>0</v>
      </c>
      <c r="O19" s="14">
        <f>0</f>
        <v>0</v>
      </c>
      <c r="P19" s="14">
        <f ca="1">IF($L$11=1, 0, IF($L$12=1, P17, P19))</f>
        <v>0</v>
      </c>
      <c r="Q19" s="14">
        <f ca="1">IF($L$11=1, 0, IF($L$12=1, Q17, Q19))</f>
        <v>0</v>
      </c>
      <c r="R19" s="14">
        <f ca="1">IF($L$11=1, 0, IF($L$12=1, R17, R19))</f>
        <v>0</v>
      </c>
      <c r="S19" s="15">
        <f ca="1">IF($L$11=1, 0, IF($L$12=1, S17, S19))</f>
        <v>0</v>
      </c>
      <c r="AP19" s="33"/>
      <c r="AQ19" s="33"/>
      <c r="AR19" s="33"/>
      <c r="AS19" s="33"/>
      <c r="AT19" s="33"/>
      <c r="AU19" s="33"/>
    </row>
    <row r="20" spans="11:47" ht="15.5" customHeight="1" thickTop="1" thickBot="1" x14ac:dyDescent="0.4">
      <c r="K20" s="17" t="s">
        <v>61</v>
      </c>
      <c r="L20" s="5">
        <f ca="1">L17*8+M17*4+N17*2+O17</f>
        <v>0</v>
      </c>
      <c r="AP20" s="33"/>
      <c r="AQ20" s="33"/>
      <c r="AR20" s="33"/>
      <c r="AS20" s="33"/>
      <c r="AT20" s="33"/>
      <c r="AU20" s="33"/>
    </row>
    <row r="21" spans="11:47" ht="15.5" customHeight="1" thickBot="1" x14ac:dyDescent="0.4">
      <c r="K21" s="17" t="s">
        <v>60</v>
      </c>
      <c r="L21" s="5">
        <f ca="1">MOD(P17*8+Q17*4+R17*2+S17,16)</f>
        <v>0</v>
      </c>
      <c r="AP21" s="33"/>
      <c r="AQ21" s="33"/>
      <c r="AR21" s="33"/>
      <c r="AS21" s="33"/>
      <c r="AT21" s="33"/>
      <c r="AU21" s="33"/>
    </row>
    <row r="22" spans="11:47" ht="15.5" customHeight="1" thickBot="1" x14ac:dyDescent="0.4">
      <c r="K22" s="17" t="s">
        <v>62</v>
      </c>
      <c r="L22" s="5">
        <f ca="1">IF($L$11=1,0,IF($L$12=2,$L$24,$L$22))</f>
        <v>0</v>
      </c>
      <c r="AP22" s="33"/>
      <c r="AQ22" s="33"/>
      <c r="AR22" s="33"/>
      <c r="AS22" s="33"/>
      <c r="AT22" s="33"/>
      <c r="AU22" s="33"/>
    </row>
    <row r="23" spans="11:47" ht="15.5" customHeight="1" thickBot="1" x14ac:dyDescent="0.4">
      <c r="K23" s="17" t="s">
        <v>63</v>
      </c>
      <c r="L23" s="5">
        <f ca="1">INDEX($A$40:$H$55,L21+1,1)*128+INDEX($A$40:$H$55,L21+1,2)*64+INDEX($A$40:$H$55,L21+1,3)*32+INDEX($A$40:$H$55,L21+1,4)*16+INDEX($A$40:$H$55,L21+1,5)*8+INDEX($A$40:$H$55,L21+1,6)*4+INDEX($A$40:$H$55,L21+1,7)*2+INDEX($A$40:$H$55,L21+1,8)*1</f>
        <v>0</v>
      </c>
      <c r="AP23" s="33"/>
      <c r="AQ23" s="33"/>
      <c r="AR23" s="33"/>
      <c r="AS23" s="33"/>
      <c r="AT23" s="33"/>
      <c r="AU23" s="33"/>
    </row>
    <row r="24" spans="11:47" ht="15.5" customHeight="1" thickBot="1" x14ac:dyDescent="0.4">
      <c r="K24" s="17" t="s">
        <v>64</v>
      </c>
      <c r="L24" s="5">
        <f ca="1">IF($L$11=1,0,IF($L$12=1,IF($L$20=0, $L$23,IF($L$20=1, MOD($L$22+$L$23,256),IF($L$20=2, MOD($L$22-$L$23+256,256), $L$22))),$L$22))</f>
        <v>0</v>
      </c>
      <c r="AP24" s="33"/>
      <c r="AQ24" s="33"/>
      <c r="AR24" s="33"/>
      <c r="AS24" s="33"/>
      <c r="AT24" s="33"/>
      <c r="AU24" s="33"/>
    </row>
    <row r="25" spans="11:47" ht="15.5" customHeight="1" thickBot="1" x14ac:dyDescent="0.4">
      <c r="V25" s="3"/>
      <c r="W25" s="3"/>
      <c r="X25" s="3"/>
      <c r="Y25" s="3"/>
      <c r="Z25" s="3"/>
      <c r="AA25" s="3"/>
      <c r="AB25" s="3"/>
      <c r="AC25" s="3"/>
      <c r="AP25" s="33"/>
      <c r="AQ25" s="33"/>
      <c r="AR25" s="33"/>
      <c r="AS25" s="33"/>
      <c r="AT25" s="33"/>
      <c r="AU25" s="33"/>
    </row>
    <row r="26" spans="11:47" ht="15.5" customHeight="1" thickTop="1" thickBot="1" x14ac:dyDescent="0.4">
      <c r="K26" s="30" t="s">
        <v>35</v>
      </c>
      <c r="L26" s="14">
        <f ca="1">IF($L$11=1,0,IF($L$12=2,IF(OR($L$20=0,$L$20=1,$L$20=2),IF($L$24=0,1,0),L26),L26))</f>
        <v>0</v>
      </c>
      <c r="M26" s="14"/>
      <c r="N26" s="14"/>
      <c r="O26" s="14"/>
      <c r="P26" s="14"/>
      <c r="Q26" s="14"/>
      <c r="R26" s="14"/>
      <c r="S26" s="15"/>
      <c r="V26" s="3"/>
      <c r="W26" s="3"/>
      <c r="X26" s="3"/>
      <c r="Y26" s="3"/>
      <c r="Z26" s="3"/>
      <c r="AA26" s="3"/>
      <c r="AB26" s="3"/>
      <c r="AC26" s="3"/>
      <c r="AP26" s="33"/>
      <c r="AQ26" s="33"/>
      <c r="AR26" s="33"/>
      <c r="AS26" s="33"/>
      <c r="AT26" s="33"/>
      <c r="AU26" s="33"/>
    </row>
    <row r="27" spans="11:47" ht="15.5" customHeight="1" thickTop="1" thickBot="1" x14ac:dyDescent="0.4">
      <c r="V27" s="3"/>
      <c r="W27" s="3"/>
      <c r="X27" s="3"/>
      <c r="Y27" s="3"/>
      <c r="Z27" s="3"/>
      <c r="AA27" s="3"/>
      <c r="AB27" s="3"/>
      <c r="AC27" s="3"/>
      <c r="AP27" s="33"/>
      <c r="AQ27" s="33"/>
      <c r="AR27" s="33"/>
      <c r="AS27" s="33"/>
      <c r="AT27" s="33"/>
      <c r="AU27" s="33"/>
    </row>
    <row r="28" spans="11:47" ht="15.5" customHeight="1" thickTop="1" thickBot="1" x14ac:dyDescent="0.4">
      <c r="K28" s="32" t="s">
        <v>0</v>
      </c>
      <c r="L28" s="13">
        <f ca="1">IF($L$11=1,0,IF(_xlfn.BITAND($L$22,128)&gt;0,1,0))</f>
        <v>0</v>
      </c>
      <c r="M28" s="14">
        <f ca="1">IF($L$11=1,0,IF(_xlfn.BITAND($L$22,64)&gt;0,1,0))</f>
        <v>0</v>
      </c>
      <c r="N28" s="14">
        <f ca="1">IF($L$11=1,0,IF(_xlfn.BITAND($L$22,32)&gt;0,1,0))</f>
        <v>0</v>
      </c>
      <c r="O28" s="14">
        <f ca="1">IF($L$11=1,0,IF(_xlfn.BITAND($L$22,16)&gt;0,1,0))</f>
        <v>0</v>
      </c>
      <c r="P28" s="14">
        <f ca="1">IF($L$11=1,0,IF(_xlfn.BITAND($L$22,8)&gt;0,1,0))</f>
        <v>0</v>
      </c>
      <c r="Q28" s="14">
        <f ca="1">IF($L$11=1,0,IF(_xlfn.BITAND($L$22,4)&gt;0,1,0))</f>
        <v>0</v>
      </c>
      <c r="R28" s="14">
        <f ca="1">IF($L$11=1,0,IF(_xlfn.BITAND($L$22,2)&gt;0,1,0))</f>
        <v>0</v>
      </c>
      <c r="S28" s="15">
        <f ca="1">IF($L$11=1,0,IF(_xlfn.BITAND($L$22,1)&gt;0,1,0))</f>
        <v>0</v>
      </c>
      <c r="V28" s="3"/>
      <c r="W28" s="3"/>
      <c r="X28" s="3"/>
      <c r="Y28" s="3"/>
      <c r="Z28" s="3"/>
      <c r="AA28" s="3"/>
      <c r="AB28" s="3"/>
      <c r="AC28" s="3"/>
      <c r="AP28" s="33"/>
      <c r="AQ28" s="33"/>
      <c r="AR28" s="33"/>
      <c r="AS28" s="33"/>
      <c r="AT28" s="33"/>
      <c r="AU28" s="33"/>
    </row>
    <row r="29" spans="11:47" ht="15.5" customHeight="1" thickTop="1" x14ac:dyDescent="0.35">
      <c r="V29" s="3"/>
      <c r="W29" s="3"/>
      <c r="X29" s="3"/>
      <c r="Y29" s="3"/>
      <c r="Z29" s="3"/>
      <c r="AA29" s="3"/>
      <c r="AB29" s="3"/>
      <c r="AC29" s="3"/>
      <c r="AP29" s="33"/>
      <c r="AQ29" s="33"/>
      <c r="AR29" s="33"/>
      <c r="AS29" s="33"/>
      <c r="AT29" s="33"/>
      <c r="AU29" s="33"/>
    </row>
    <row r="30" spans="11:47" ht="15.5" customHeight="1" x14ac:dyDescent="0.35">
      <c r="V30" s="3"/>
      <c r="W30" s="3"/>
      <c r="X30" s="3"/>
      <c r="Y30" s="3"/>
      <c r="Z30" s="3"/>
      <c r="AA30" s="3"/>
      <c r="AB30" s="3"/>
      <c r="AC30" s="3"/>
      <c r="AP30" s="33"/>
      <c r="AQ30" s="33"/>
      <c r="AR30" s="33"/>
      <c r="AS30" s="33"/>
      <c r="AT30" s="33"/>
      <c r="AU30" s="33"/>
    </row>
    <row r="31" spans="11:47" ht="15.5" customHeight="1" x14ac:dyDescent="0.35">
      <c r="V31" s="3"/>
      <c r="W31" s="3"/>
      <c r="X31" s="3"/>
      <c r="Y31" s="3"/>
      <c r="Z31" s="3"/>
      <c r="AA31" s="3"/>
      <c r="AB31" s="3"/>
      <c r="AC31" s="3"/>
      <c r="AP31" s="33"/>
      <c r="AQ31" s="33"/>
      <c r="AR31" s="33"/>
      <c r="AS31" s="33"/>
      <c r="AT31" s="33"/>
      <c r="AU31" s="33"/>
    </row>
    <row r="32" spans="11:47" ht="15.5" customHeight="1" x14ac:dyDescent="0.35">
      <c r="V32" s="3"/>
      <c r="W32" s="3"/>
      <c r="X32" s="3"/>
      <c r="Y32" s="3"/>
      <c r="Z32" s="3"/>
      <c r="AA32" s="3"/>
      <c r="AB32" s="3"/>
      <c r="AC32" s="3"/>
      <c r="AP32" s="33"/>
      <c r="AQ32" s="33"/>
      <c r="AR32" s="33"/>
      <c r="AS32" s="33"/>
      <c r="AT32" s="33"/>
      <c r="AU32" s="33"/>
    </row>
    <row r="33" spans="1:47" ht="15.5" customHeight="1" x14ac:dyDescent="0.35">
      <c r="V33" s="3"/>
      <c r="W33" s="3"/>
      <c r="X33" s="3"/>
      <c r="Y33" s="3"/>
      <c r="Z33" s="3"/>
      <c r="AA33" s="3"/>
      <c r="AB33" s="3"/>
      <c r="AC33" s="3"/>
      <c r="AP33" s="33"/>
      <c r="AQ33" s="33"/>
      <c r="AR33" s="33"/>
      <c r="AS33" s="33"/>
      <c r="AT33" s="33"/>
      <c r="AU33" s="33"/>
    </row>
    <row r="34" spans="1:47" ht="15.5" customHeight="1" x14ac:dyDescent="0.35">
      <c r="V34" s="3"/>
      <c r="W34" s="3"/>
      <c r="X34" s="3"/>
      <c r="Y34" s="3"/>
      <c r="Z34" s="3"/>
      <c r="AA34" s="3"/>
      <c r="AB34" s="3"/>
      <c r="AC34" s="3"/>
      <c r="AP34" s="33"/>
      <c r="AQ34" s="33"/>
      <c r="AR34" s="33"/>
      <c r="AS34" s="33"/>
      <c r="AT34" s="33"/>
      <c r="AU34" s="33"/>
    </row>
    <row r="35" spans="1:47" ht="15.5" customHeight="1" x14ac:dyDescent="0.35">
      <c r="V35" s="3"/>
      <c r="W35" s="3"/>
      <c r="X35" s="3"/>
      <c r="Y35" s="3"/>
      <c r="Z35" s="3"/>
      <c r="AA35" s="3"/>
      <c r="AB35" s="3"/>
      <c r="AC35" s="3"/>
      <c r="AP35" s="33"/>
      <c r="AQ35" s="33"/>
      <c r="AR35" s="33"/>
      <c r="AS35" s="33"/>
      <c r="AT35" s="33"/>
      <c r="AU35" s="33"/>
    </row>
    <row r="36" spans="1:47" ht="15.5" customHeight="1" x14ac:dyDescent="0.35">
      <c r="V36" s="3"/>
      <c r="W36" s="3"/>
      <c r="X36" s="3"/>
      <c r="Y36" s="3"/>
      <c r="Z36" s="3"/>
      <c r="AA36" s="3"/>
      <c r="AB36" s="3"/>
      <c r="AC36" s="3"/>
      <c r="AP36" s="33"/>
      <c r="AQ36" s="33"/>
      <c r="AR36" s="33"/>
      <c r="AS36" s="33"/>
      <c r="AT36" s="33"/>
      <c r="AU36" s="33"/>
    </row>
    <row r="37" spans="1:47" ht="15.5" customHeight="1" x14ac:dyDescent="0.35">
      <c r="V37" s="3"/>
      <c r="W37" s="3"/>
      <c r="X37" s="3"/>
      <c r="Y37" s="3"/>
      <c r="Z37" s="3"/>
      <c r="AA37" s="3"/>
      <c r="AB37" s="3"/>
      <c r="AC37" s="3"/>
      <c r="AD37" t="s">
        <v>71</v>
      </c>
      <c r="AP37" s="33"/>
      <c r="AQ37" s="33"/>
      <c r="AR37" s="33"/>
      <c r="AS37" s="33"/>
      <c r="AT37" s="33"/>
      <c r="AU37" s="33"/>
    </row>
    <row r="38" spans="1:47" ht="15.5" customHeight="1" x14ac:dyDescent="0.35">
      <c r="V38" s="3"/>
      <c r="W38" s="3"/>
      <c r="X38" s="3"/>
      <c r="Y38" s="3"/>
      <c r="Z38" s="3"/>
      <c r="AA38" s="3"/>
      <c r="AB38" s="3"/>
      <c r="AC38" s="3"/>
      <c r="AD38" t="s">
        <v>72</v>
      </c>
      <c r="AP38" s="33"/>
      <c r="AQ38" s="33"/>
      <c r="AR38" s="33"/>
      <c r="AS38" s="33"/>
      <c r="AT38" s="33"/>
      <c r="AU38" s="33"/>
    </row>
    <row r="39" spans="1:47" ht="15.5" customHeight="1" thickBot="1" x14ac:dyDescent="0.4">
      <c r="A39" s="1" t="s">
        <v>29</v>
      </c>
      <c r="V39" s="3"/>
      <c r="W39" s="3"/>
      <c r="X39" s="3"/>
      <c r="Y39" s="3"/>
      <c r="Z39" s="3"/>
      <c r="AA39" s="3"/>
      <c r="AB39" s="3"/>
      <c r="AC39" s="3"/>
      <c r="AD39" t="s">
        <v>73</v>
      </c>
      <c r="AP39" s="33"/>
      <c r="AQ39" s="33"/>
      <c r="AR39" s="33"/>
      <c r="AS39" s="33"/>
      <c r="AT39" s="33"/>
      <c r="AU39" s="33"/>
    </row>
    <row r="40" spans="1:47" ht="15.5" customHeight="1" thickBot="1" x14ac:dyDescent="0.4">
      <c r="A40" s="34">
        <f ca="1">IF($L$11=1,0,IF($L$10=1,AF1,IF(AND($L$20=3, $L$21=$I40),L$28,A40)))</f>
        <v>0</v>
      </c>
      <c r="B40" s="35">
        <f t="shared" ref="B40:H55" ca="1" si="2">IF($L$11=1,0,IF($L$10=1,AG1,IF(AND($L$20=3, $L$21=$I40),M$28,B40)))</f>
        <v>0</v>
      </c>
      <c r="C40" s="35">
        <f t="shared" ca="1" si="2"/>
        <v>0</v>
      </c>
      <c r="D40" s="35">
        <f t="shared" ca="1" si="2"/>
        <v>0</v>
      </c>
      <c r="E40" s="34">
        <f t="shared" ca="1" si="2"/>
        <v>0</v>
      </c>
      <c r="F40" s="35">
        <f t="shared" ca="1" si="2"/>
        <v>0</v>
      </c>
      <c r="G40" s="35">
        <f t="shared" ca="1" si="2"/>
        <v>0</v>
      </c>
      <c r="H40" s="36">
        <f t="shared" ca="1" si="2"/>
        <v>0</v>
      </c>
      <c r="I40" s="2">
        <v>0</v>
      </c>
      <c r="J40" s="6">
        <f ca="1">SUMPRODUCT(A40:H40,{128,64,32,16,8,4,2,1})</f>
        <v>0</v>
      </c>
      <c r="V40" s="3"/>
      <c r="W40" s="3"/>
      <c r="X40" s="3"/>
      <c r="Y40" s="3"/>
      <c r="Z40" s="3"/>
      <c r="AA40" s="3"/>
      <c r="AB40" s="3"/>
      <c r="AC40" s="3"/>
      <c r="AD40" t="s">
        <v>74</v>
      </c>
      <c r="AP40" s="33"/>
      <c r="AQ40" s="33"/>
      <c r="AR40" s="33"/>
      <c r="AS40" s="33"/>
      <c r="AT40" s="33"/>
      <c r="AU40" s="33"/>
    </row>
    <row r="41" spans="1:47" ht="15.5" customHeight="1" thickBot="1" x14ac:dyDescent="0.4">
      <c r="A41" s="37">
        <f t="shared" ref="A41:A55" ca="1" si="3">IF($L$11=1,0,IF($L$10=1,AF2,IF(AND($L$20=3, $L$21=$I41),L$28,A41)))</f>
        <v>0</v>
      </c>
      <c r="B41" s="3">
        <f t="shared" ca="1" si="2"/>
        <v>0</v>
      </c>
      <c r="C41" s="3">
        <f t="shared" ca="1" si="2"/>
        <v>0</v>
      </c>
      <c r="D41" s="3">
        <f t="shared" ca="1" si="2"/>
        <v>0</v>
      </c>
      <c r="E41" s="37">
        <f t="shared" ca="1" si="2"/>
        <v>0</v>
      </c>
      <c r="F41" s="3">
        <f ca="1">IF($L$11=1,0,IF($L$10=1,AK2,IF(AND($L$20=3, $L$21=$I41),Q$28,F41)))</f>
        <v>0</v>
      </c>
      <c r="G41" s="3">
        <f t="shared" ca="1" si="2"/>
        <v>0</v>
      </c>
      <c r="H41" s="38">
        <f t="shared" ca="1" si="2"/>
        <v>0</v>
      </c>
      <c r="I41" s="2">
        <v>1</v>
      </c>
      <c r="J41" s="6">
        <f ca="1">SUMPRODUCT(A41:H41,{128,64,32,16,8,4,2,1})</f>
        <v>0</v>
      </c>
      <c r="AD41" t="s">
        <v>75</v>
      </c>
      <c r="AP41" s="33"/>
      <c r="AQ41" s="33"/>
      <c r="AR41" s="33"/>
      <c r="AS41" s="33"/>
      <c r="AT41" s="33"/>
      <c r="AU41" s="33"/>
    </row>
    <row r="42" spans="1:47" ht="15.5" customHeight="1" thickBot="1" x14ac:dyDescent="0.4">
      <c r="A42" s="37">
        <f t="shared" ca="1" si="3"/>
        <v>0</v>
      </c>
      <c r="B42" s="3">
        <f t="shared" ca="1" si="2"/>
        <v>0</v>
      </c>
      <c r="C42" s="3">
        <f t="shared" ca="1" si="2"/>
        <v>0</v>
      </c>
      <c r="D42" s="3">
        <f t="shared" ca="1" si="2"/>
        <v>0</v>
      </c>
      <c r="E42" s="37">
        <f t="shared" ca="1" si="2"/>
        <v>0</v>
      </c>
      <c r="F42" s="3">
        <f t="shared" ca="1" si="2"/>
        <v>0</v>
      </c>
      <c r="G42" s="3">
        <f t="shared" ca="1" si="2"/>
        <v>0</v>
      </c>
      <c r="H42" s="38">
        <f t="shared" ca="1" si="2"/>
        <v>0</v>
      </c>
      <c r="I42" s="2">
        <v>2</v>
      </c>
      <c r="J42" s="6">
        <f ca="1">SUMPRODUCT(A42:H42,{128,64,32,16,8,4,2,1})</f>
        <v>0</v>
      </c>
      <c r="AP42" s="33"/>
      <c r="AQ42" s="33"/>
      <c r="AR42" s="33"/>
      <c r="AS42" s="33"/>
      <c r="AT42" s="33"/>
      <c r="AU42" s="33"/>
    </row>
    <row r="43" spans="1:47" ht="15.5" customHeight="1" thickBot="1" x14ac:dyDescent="0.4">
      <c r="A43" s="37">
        <f t="shared" ca="1" si="3"/>
        <v>0</v>
      </c>
      <c r="B43" s="3">
        <f t="shared" ca="1" si="2"/>
        <v>0</v>
      </c>
      <c r="C43" s="3">
        <f t="shared" ca="1" si="2"/>
        <v>0</v>
      </c>
      <c r="D43" s="3">
        <f t="shared" ca="1" si="2"/>
        <v>0</v>
      </c>
      <c r="E43" s="37">
        <f t="shared" ca="1" si="2"/>
        <v>0</v>
      </c>
      <c r="F43" s="3">
        <f t="shared" ca="1" si="2"/>
        <v>0</v>
      </c>
      <c r="G43" s="3">
        <f t="shared" ca="1" si="2"/>
        <v>0</v>
      </c>
      <c r="H43" s="38">
        <f t="shared" ca="1" si="2"/>
        <v>0</v>
      </c>
      <c r="I43" s="2">
        <v>3</v>
      </c>
      <c r="J43" s="6">
        <f ca="1">SUMPRODUCT(A43:H43,{128,64,32,16,8,4,2,1})</f>
        <v>0</v>
      </c>
      <c r="AD43" t="s">
        <v>76</v>
      </c>
      <c r="AP43" s="33"/>
      <c r="AQ43" s="33"/>
      <c r="AR43" s="33"/>
      <c r="AS43" s="33"/>
      <c r="AT43" s="33"/>
      <c r="AU43" s="33"/>
    </row>
    <row r="44" spans="1:47" ht="15.5" customHeight="1" thickBot="1" x14ac:dyDescent="0.4">
      <c r="A44" s="37">
        <f t="shared" ca="1" si="3"/>
        <v>0</v>
      </c>
      <c r="B44" s="3">
        <f t="shared" ca="1" si="2"/>
        <v>0</v>
      </c>
      <c r="C44" s="3">
        <f t="shared" ca="1" si="2"/>
        <v>0</v>
      </c>
      <c r="D44" s="3">
        <f t="shared" ca="1" si="2"/>
        <v>0</v>
      </c>
      <c r="E44" s="37">
        <f t="shared" ca="1" si="2"/>
        <v>0</v>
      </c>
      <c r="F44" s="3">
        <f t="shared" ca="1" si="2"/>
        <v>0</v>
      </c>
      <c r="G44" s="3">
        <f t="shared" ca="1" si="2"/>
        <v>0</v>
      </c>
      <c r="H44" s="38">
        <f t="shared" ca="1" si="2"/>
        <v>0</v>
      </c>
      <c r="I44" s="2">
        <v>4</v>
      </c>
      <c r="J44" s="6">
        <f ca="1">SUMPRODUCT(A44:H44,{128,64,32,16,8,4,2,1})</f>
        <v>0</v>
      </c>
      <c r="AD44" t="s">
        <v>77</v>
      </c>
      <c r="AP44" s="33"/>
      <c r="AQ44" s="33"/>
      <c r="AR44" s="33"/>
      <c r="AS44" s="33"/>
      <c r="AT44" s="33"/>
      <c r="AU44" s="33"/>
    </row>
    <row r="45" spans="1:47" ht="15.5" customHeight="1" thickBot="1" x14ac:dyDescent="0.4">
      <c r="A45" s="37">
        <f t="shared" ca="1" si="3"/>
        <v>0</v>
      </c>
      <c r="B45" s="3">
        <f t="shared" ca="1" si="2"/>
        <v>0</v>
      </c>
      <c r="C45" s="3">
        <f t="shared" ca="1" si="2"/>
        <v>0</v>
      </c>
      <c r="D45" s="3">
        <f t="shared" ca="1" si="2"/>
        <v>0</v>
      </c>
      <c r="E45" s="37">
        <f t="shared" ca="1" si="2"/>
        <v>0</v>
      </c>
      <c r="F45" s="3">
        <f t="shared" ca="1" si="2"/>
        <v>0</v>
      </c>
      <c r="G45" s="3">
        <f ca="1">IF($L$11=1,0,IF($L$10=1,AL6,IF(AND($L$20=3, $L$21=$I45),R$28,G45)))</f>
        <v>0</v>
      </c>
      <c r="H45" s="38">
        <f t="shared" ca="1" si="2"/>
        <v>0</v>
      </c>
      <c r="I45" s="2">
        <v>5</v>
      </c>
      <c r="J45" s="6">
        <f ca="1">SUMPRODUCT(A45:H45,{128,64,32,16,8,4,2,1})</f>
        <v>0</v>
      </c>
      <c r="AD45" t="s">
        <v>78</v>
      </c>
      <c r="AP45" s="33"/>
      <c r="AQ45" s="33"/>
      <c r="AR45" s="33"/>
      <c r="AS45" s="33"/>
      <c r="AT45" s="33"/>
      <c r="AU45" s="33"/>
    </row>
    <row r="46" spans="1:47" ht="15.5" customHeight="1" thickBot="1" x14ac:dyDescent="0.4">
      <c r="A46" s="37">
        <f t="shared" ca="1" si="3"/>
        <v>0</v>
      </c>
      <c r="B46" s="3">
        <f t="shared" ca="1" si="2"/>
        <v>0</v>
      </c>
      <c r="C46" s="3">
        <f t="shared" ca="1" si="2"/>
        <v>0</v>
      </c>
      <c r="D46" s="3">
        <f t="shared" ca="1" si="2"/>
        <v>0</v>
      </c>
      <c r="E46" s="37">
        <f t="shared" ca="1" si="2"/>
        <v>0</v>
      </c>
      <c r="F46" s="3">
        <f t="shared" ca="1" si="2"/>
        <v>0</v>
      </c>
      <c r="G46" s="3">
        <f t="shared" ca="1" si="2"/>
        <v>0</v>
      </c>
      <c r="H46" s="38">
        <f t="shared" ca="1" si="2"/>
        <v>0</v>
      </c>
      <c r="I46" s="2">
        <v>6</v>
      </c>
      <c r="J46" s="6">
        <f ca="1">SUMPRODUCT(A46:H46,{128,64,32,16,8,4,2,1})</f>
        <v>0</v>
      </c>
      <c r="AD46" t="s">
        <v>79</v>
      </c>
      <c r="AP46" s="33"/>
      <c r="AQ46" s="33"/>
      <c r="AR46" s="33"/>
      <c r="AS46" s="33"/>
      <c r="AT46" s="33"/>
      <c r="AU46" s="33"/>
    </row>
    <row r="47" spans="1:47" ht="15.5" customHeight="1" thickBot="1" x14ac:dyDescent="0.4">
      <c r="A47" s="37">
        <f t="shared" ca="1" si="3"/>
        <v>0</v>
      </c>
      <c r="B47" s="3">
        <f t="shared" ca="1" si="2"/>
        <v>0</v>
      </c>
      <c r="C47" s="3">
        <f t="shared" ca="1" si="2"/>
        <v>0</v>
      </c>
      <c r="D47" s="3">
        <f t="shared" ca="1" si="2"/>
        <v>0</v>
      </c>
      <c r="E47" s="37">
        <f t="shared" ca="1" si="2"/>
        <v>0</v>
      </c>
      <c r="F47" s="3">
        <f t="shared" ca="1" si="2"/>
        <v>0</v>
      </c>
      <c r="G47" s="3">
        <f t="shared" ca="1" si="2"/>
        <v>0</v>
      </c>
      <c r="H47" s="38">
        <f t="shared" ca="1" si="2"/>
        <v>0</v>
      </c>
      <c r="I47" s="2">
        <v>7</v>
      </c>
      <c r="J47" s="6">
        <f ca="1">SUMPRODUCT(A47:H47,{128,64,32,16,8,4,2,1})</f>
        <v>0</v>
      </c>
      <c r="AP47" s="33"/>
      <c r="AQ47" s="33"/>
      <c r="AR47" s="33"/>
      <c r="AS47" s="33"/>
      <c r="AT47" s="33"/>
      <c r="AU47" s="33"/>
    </row>
    <row r="48" spans="1:47" ht="15.5" customHeight="1" thickBot="1" x14ac:dyDescent="0.4">
      <c r="A48" s="37">
        <f t="shared" ca="1" si="3"/>
        <v>0</v>
      </c>
      <c r="B48" s="3">
        <f t="shared" ca="1" si="2"/>
        <v>0</v>
      </c>
      <c r="C48" s="3">
        <f t="shared" ca="1" si="2"/>
        <v>0</v>
      </c>
      <c r="D48" s="3">
        <f t="shared" ca="1" si="2"/>
        <v>0</v>
      </c>
      <c r="E48" s="37">
        <f t="shared" ca="1" si="2"/>
        <v>0</v>
      </c>
      <c r="F48" s="3">
        <f t="shared" ca="1" si="2"/>
        <v>0</v>
      </c>
      <c r="G48" s="3">
        <f t="shared" ca="1" si="2"/>
        <v>0</v>
      </c>
      <c r="H48" s="38">
        <f t="shared" ca="1" si="2"/>
        <v>0</v>
      </c>
      <c r="I48" s="2">
        <v>8</v>
      </c>
      <c r="J48" s="6">
        <f ca="1">SUMPRODUCT(A48:H48,{128,64,32,16,8,4,2,1})</f>
        <v>0</v>
      </c>
      <c r="AD48" t="s">
        <v>81</v>
      </c>
      <c r="AP48" s="33"/>
      <c r="AQ48" s="33"/>
      <c r="AR48" s="33"/>
      <c r="AS48" s="33"/>
      <c r="AT48" s="33"/>
      <c r="AU48" s="33"/>
    </row>
    <row r="49" spans="1:61" ht="15.5" customHeight="1" thickBot="1" x14ac:dyDescent="0.4">
      <c r="A49" s="37">
        <f t="shared" ca="1" si="3"/>
        <v>0</v>
      </c>
      <c r="B49" s="3">
        <f t="shared" ca="1" si="2"/>
        <v>0</v>
      </c>
      <c r="C49" s="3">
        <f t="shared" ca="1" si="2"/>
        <v>0</v>
      </c>
      <c r="D49" s="3">
        <f t="shared" ca="1" si="2"/>
        <v>0</v>
      </c>
      <c r="E49" s="37">
        <f t="shared" ca="1" si="2"/>
        <v>0</v>
      </c>
      <c r="F49" s="3">
        <f t="shared" ca="1" si="2"/>
        <v>0</v>
      </c>
      <c r="G49" s="3">
        <f t="shared" ca="1" si="2"/>
        <v>0</v>
      </c>
      <c r="H49" s="38">
        <f t="shared" ca="1" si="2"/>
        <v>0</v>
      </c>
      <c r="I49" s="2">
        <v>9</v>
      </c>
      <c r="J49" s="6">
        <f ca="1">SUMPRODUCT(A49:H49,{128,64,32,16,8,4,2,1})</f>
        <v>0</v>
      </c>
      <c r="AD49" t="s">
        <v>80</v>
      </c>
      <c r="AP49" s="33"/>
      <c r="AQ49" s="33"/>
      <c r="AR49" s="33"/>
      <c r="AS49" s="33"/>
      <c r="AT49" s="33"/>
      <c r="AU49" s="33"/>
      <c r="BB49" s="34">
        <f ca="1">IF($L$11=1,
   0,
   IF($L$10=1,
      CG10,
      IF(AND($L$20=3, $L$21=$I49),
         BM$28,
         BB49
      )
   )
)</f>
        <v>0</v>
      </c>
      <c r="BC49" s="35">
        <f t="shared" ref="BC49:BC64" ca="1" si="4">IF($L$11=1,
   0,
   IF($L$10=1,
      CH10,
      IF(AND($L$20=3, $L$21=$I49),
         BN$28,
         BC49
      )
   )
)</f>
        <v>0</v>
      </c>
      <c r="BD49" s="35">
        <f t="shared" ref="BD49:BD64" ca="1" si="5">IF($L$11=1,
   0,
   IF($L$10=1,
      CI10,
      IF(AND($L$20=3, $L$21=$I49),
         BO$28,
         BD49
      )
   )
)</f>
        <v>0</v>
      </c>
      <c r="BE49" s="35">
        <f t="shared" ref="BE49:BE64" ca="1" si="6">IF($L$11=1,
   0,
   IF($L$10=1,
      CJ10,
      IF(AND($L$20=3, $L$21=$I49),
         BP$28,
         BE49
      )
   )
)</f>
        <v>0</v>
      </c>
      <c r="BF49" s="35">
        <f t="shared" ref="BF49:BF64" ca="1" si="7">IF($L$11=1,
   0,
   IF($L$10=1,
      CK10,
      IF(AND($L$20=3, $L$21=$I49),
         BQ$28,
         BF49
      )
   )
)</f>
        <v>0</v>
      </c>
      <c r="BG49" s="35">
        <f t="shared" ref="BG49:BG55" ca="1" si="8">IF($L$11=1,
   0,
   IF($L$10=1,
      CL10,
      IF(AND($L$20=3, $L$21=$I49),
         BR$28,
         BG49
      )
   )
)</f>
        <v>0</v>
      </c>
      <c r="BH49" s="35">
        <f t="shared" ref="BH49:BH64" ca="1" si="9">IF($L$11=1,
   0,
   IF($L$10=1,
      CM10,
      IF(AND($L$20=3, $L$21=$I49),
         BS$28,
         BH49
      )
   )
)</f>
        <v>0</v>
      </c>
      <c r="BI49" s="36">
        <f t="shared" ref="BI49:BI64" ca="1" si="10">IF($L$11=1,
   0,
   IF($L$10=1,
      CN10,
      IF(AND($L$20=3, $L$21=$I49),
         BT$28,
         BI49
      )
   )
)</f>
        <v>0</v>
      </c>
    </row>
    <row r="50" spans="1:61" ht="15.5" customHeight="1" thickBot="1" x14ac:dyDescent="0.4">
      <c r="A50" s="37">
        <f t="shared" ca="1" si="3"/>
        <v>0</v>
      </c>
      <c r="B50" s="3">
        <f t="shared" ca="1" si="2"/>
        <v>0</v>
      </c>
      <c r="C50" s="3">
        <f t="shared" ca="1" si="2"/>
        <v>0</v>
      </c>
      <c r="D50" s="3">
        <f t="shared" ca="1" si="2"/>
        <v>0</v>
      </c>
      <c r="E50" s="37">
        <f t="shared" ca="1" si="2"/>
        <v>0</v>
      </c>
      <c r="F50" s="3">
        <f t="shared" ca="1" si="2"/>
        <v>0</v>
      </c>
      <c r="G50" s="3">
        <f t="shared" ca="1" si="2"/>
        <v>0</v>
      </c>
      <c r="H50" s="38">
        <f t="shared" ca="1" si="2"/>
        <v>0</v>
      </c>
      <c r="I50" s="2">
        <v>10</v>
      </c>
      <c r="J50" s="6">
        <f ca="1">SUMPRODUCT(A50:H50,{128,64,32,16,8,4,2,1})</f>
        <v>0</v>
      </c>
      <c r="AP50" s="33"/>
      <c r="AQ50" s="33"/>
      <c r="AR50" s="33"/>
      <c r="AS50" s="33"/>
      <c r="AT50" s="33"/>
      <c r="AU50" s="33"/>
      <c r="BB50" s="37">
        <f t="shared" ref="BB50:BB63" ca="1" si="11">IF($L$11=1,
   0,
   IF($L$10=1,
      CG11,
      IF(AND($L$20=3, $L$21=$I50),
         BM$28,
         BB50
      )
   )
)</f>
        <v>0</v>
      </c>
      <c r="BC50" s="3">
        <f t="shared" ca="1" si="4"/>
        <v>0</v>
      </c>
      <c r="BD50" s="3">
        <f t="shared" ca="1" si="5"/>
        <v>0</v>
      </c>
      <c r="BE50" s="3">
        <f t="shared" ca="1" si="6"/>
        <v>0</v>
      </c>
      <c r="BF50" s="3">
        <f t="shared" ca="1" si="7"/>
        <v>0</v>
      </c>
      <c r="BG50" s="3">
        <f t="shared" ca="1" si="8"/>
        <v>0</v>
      </c>
      <c r="BH50" s="3">
        <f t="shared" ca="1" si="9"/>
        <v>0</v>
      </c>
      <c r="BI50" s="38">
        <f t="shared" ca="1" si="10"/>
        <v>0</v>
      </c>
    </row>
    <row r="51" spans="1:61" ht="15.5" customHeight="1" thickBot="1" x14ac:dyDescent="0.4">
      <c r="A51" s="37">
        <f t="shared" ca="1" si="3"/>
        <v>0</v>
      </c>
      <c r="B51" s="3">
        <f t="shared" ca="1" si="2"/>
        <v>0</v>
      </c>
      <c r="C51" s="3">
        <f t="shared" ca="1" si="2"/>
        <v>0</v>
      </c>
      <c r="D51" s="3">
        <f t="shared" ca="1" si="2"/>
        <v>0</v>
      </c>
      <c r="E51" s="37">
        <f t="shared" ca="1" si="2"/>
        <v>0</v>
      </c>
      <c r="F51" s="3">
        <f t="shared" ca="1" si="2"/>
        <v>0</v>
      </c>
      <c r="G51" s="3">
        <f t="shared" ca="1" si="2"/>
        <v>0</v>
      </c>
      <c r="H51" s="38">
        <f t="shared" ca="1" si="2"/>
        <v>0</v>
      </c>
      <c r="I51" s="2">
        <v>11</v>
      </c>
      <c r="J51" s="6">
        <f ca="1">SUMPRODUCT(A51:H51,{128,64,32,16,8,4,2,1})</f>
        <v>0</v>
      </c>
      <c r="AP51" s="33"/>
      <c r="AQ51" s="33"/>
      <c r="AR51" s="33"/>
      <c r="AS51" s="33"/>
      <c r="AT51" s="33"/>
      <c r="AU51" s="33"/>
      <c r="BB51" s="37">
        <f t="shared" ca="1" si="11"/>
        <v>0</v>
      </c>
      <c r="BC51" s="3">
        <f t="shared" ca="1" si="4"/>
        <v>0</v>
      </c>
      <c r="BD51" s="3">
        <f t="shared" ca="1" si="5"/>
        <v>0</v>
      </c>
      <c r="BE51" s="3">
        <f t="shared" ca="1" si="6"/>
        <v>0</v>
      </c>
      <c r="BF51" s="3">
        <f t="shared" ca="1" si="7"/>
        <v>0</v>
      </c>
      <c r="BG51" s="3">
        <f t="shared" ca="1" si="8"/>
        <v>0</v>
      </c>
      <c r="BH51" s="3">
        <f t="shared" ca="1" si="9"/>
        <v>0</v>
      </c>
      <c r="BI51" s="38">
        <f t="shared" ca="1" si="10"/>
        <v>0</v>
      </c>
    </row>
    <row r="52" spans="1:61" ht="15.5" customHeight="1" thickBot="1" x14ac:dyDescent="0.4">
      <c r="A52" s="37">
        <f t="shared" ca="1" si="3"/>
        <v>0</v>
      </c>
      <c r="B52" s="3">
        <f t="shared" ca="1" si="2"/>
        <v>0</v>
      </c>
      <c r="C52" s="3">
        <f t="shared" ca="1" si="2"/>
        <v>0</v>
      </c>
      <c r="D52" s="3">
        <f t="shared" ca="1" si="2"/>
        <v>0</v>
      </c>
      <c r="E52" s="37">
        <f t="shared" ca="1" si="2"/>
        <v>0</v>
      </c>
      <c r="F52" s="3">
        <f t="shared" ca="1" si="2"/>
        <v>0</v>
      </c>
      <c r="G52" s="3">
        <f t="shared" ca="1" si="2"/>
        <v>0</v>
      </c>
      <c r="H52" s="38">
        <f t="shared" ca="1" si="2"/>
        <v>0</v>
      </c>
      <c r="I52" s="2">
        <v>12</v>
      </c>
      <c r="J52" s="6">
        <f ca="1">SUMPRODUCT(A52:H52,{128,64,32,16,8,4,2,1})</f>
        <v>0</v>
      </c>
      <c r="AP52" s="33"/>
      <c r="AQ52" s="33"/>
      <c r="AR52" s="33"/>
      <c r="AS52" s="33"/>
      <c r="AT52" s="33"/>
      <c r="AU52" s="33"/>
      <c r="BB52" s="37">
        <f t="shared" ca="1" si="11"/>
        <v>0</v>
      </c>
      <c r="BC52" s="3">
        <f t="shared" ca="1" si="4"/>
        <v>0</v>
      </c>
      <c r="BD52" s="3">
        <f t="shared" ca="1" si="5"/>
        <v>0</v>
      </c>
      <c r="BE52" s="3">
        <f t="shared" ca="1" si="6"/>
        <v>0</v>
      </c>
      <c r="BF52" s="3">
        <f t="shared" ca="1" si="7"/>
        <v>0</v>
      </c>
      <c r="BG52" s="3">
        <f t="shared" ca="1" si="8"/>
        <v>0</v>
      </c>
      <c r="BH52" s="3">
        <f t="shared" ca="1" si="9"/>
        <v>0</v>
      </c>
      <c r="BI52" s="38">
        <f t="shared" ca="1" si="10"/>
        <v>0</v>
      </c>
    </row>
    <row r="53" spans="1:61" ht="15.5" customHeight="1" thickBot="1" x14ac:dyDescent="0.4">
      <c r="A53" s="37">
        <f t="shared" ca="1" si="3"/>
        <v>0</v>
      </c>
      <c r="B53" s="3">
        <f t="shared" ca="1" si="2"/>
        <v>0</v>
      </c>
      <c r="C53" s="3">
        <f t="shared" ca="1" si="2"/>
        <v>0</v>
      </c>
      <c r="D53" s="3">
        <f t="shared" ca="1" si="2"/>
        <v>0</v>
      </c>
      <c r="E53" s="37">
        <f t="shared" ca="1" si="2"/>
        <v>0</v>
      </c>
      <c r="F53" s="3">
        <f t="shared" ca="1" si="2"/>
        <v>0</v>
      </c>
      <c r="G53" s="3">
        <f t="shared" ca="1" si="2"/>
        <v>0</v>
      </c>
      <c r="H53" s="38">
        <f t="shared" ca="1" si="2"/>
        <v>0</v>
      </c>
      <c r="I53" s="2">
        <v>13</v>
      </c>
      <c r="J53" s="6">
        <f ca="1">SUMPRODUCT(A53:H53,{128,64,32,16,8,4,2,1})</f>
        <v>0</v>
      </c>
      <c r="AP53" s="33"/>
      <c r="AQ53" s="33"/>
      <c r="AR53" s="33"/>
      <c r="AS53" s="33"/>
      <c r="AT53" s="33"/>
      <c r="AU53" s="33"/>
      <c r="BB53" s="37">
        <f t="shared" ca="1" si="11"/>
        <v>0</v>
      </c>
      <c r="BC53" s="3">
        <f t="shared" ca="1" si="4"/>
        <v>0</v>
      </c>
      <c r="BD53" s="3">
        <f t="shared" ca="1" si="5"/>
        <v>0</v>
      </c>
      <c r="BE53" s="3">
        <f t="shared" ca="1" si="6"/>
        <v>0</v>
      </c>
      <c r="BF53" s="3">
        <f t="shared" ca="1" si="7"/>
        <v>0</v>
      </c>
      <c r="BG53" s="3">
        <f t="shared" ca="1" si="8"/>
        <v>0</v>
      </c>
      <c r="BH53" s="3">
        <f t="shared" ca="1" si="9"/>
        <v>0</v>
      </c>
      <c r="BI53" s="38">
        <f t="shared" ca="1" si="10"/>
        <v>0</v>
      </c>
    </row>
    <row r="54" spans="1:61" ht="15.5" customHeight="1" thickBot="1" x14ac:dyDescent="0.4">
      <c r="A54" s="37">
        <f t="shared" ca="1" si="3"/>
        <v>0</v>
      </c>
      <c r="B54" s="3">
        <f t="shared" ca="1" si="2"/>
        <v>0</v>
      </c>
      <c r="C54" s="3">
        <f t="shared" ca="1" si="2"/>
        <v>0</v>
      </c>
      <c r="D54" s="3">
        <f t="shared" ca="1" si="2"/>
        <v>0</v>
      </c>
      <c r="E54" s="37">
        <f t="shared" ca="1" si="2"/>
        <v>0</v>
      </c>
      <c r="F54" s="3">
        <f t="shared" ca="1" si="2"/>
        <v>0</v>
      </c>
      <c r="G54" s="3">
        <f t="shared" ca="1" si="2"/>
        <v>0</v>
      </c>
      <c r="H54" s="38">
        <f t="shared" ca="1" si="2"/>
        <v>0</v>
      </c>
      <c r="I54" s="2">
        <v>14</v>
      </c>
      <c r="J54" s="6">
        <f ca="1">SUMPRODUCT(A54:H54,{128,64,32,16,8,4,2,1})</f>
        <v>0</v>
      </c>
      <c r="AP54" s="33"/>
      <c r="AQ54" s="33"/>
      <c r="AR54" s="33"/>
      <c r="AS54" s="33"/>
      <c r="AT54" s="33"/>
      <c r="AU54" s="33"/>
      <c r="BB54" s="37">
        <f t="shared" ca="1" si="11"/>
        <v>0</v>
      </c>
      <c r="BC54" s="3">
        <f t="shared" ca="1" si="4"/>
        <v>0</v>
      </c>
      <c r="BD54" s="3">
        <f t="shared" ca="1" si="5"/>
        <v>0</v>
      </c>
      <c r="BE54" s="3">
        <f t="shared" ca="1" si="6"/>
        <v>0</v>
      </c>
      <c r="BF54" s="3">
        <f t="shared" ca="1" si="7"/>
        <v>0</v>
      </c>
      <c r="BG54" s="3">
        <f t="shared" ca="1" si="8"/>
        <v>0</v>
      </c>
      <c r="BH54" s="3">
        <f t="shared" ca="1" si="9"/>
        <v>0</v>
      </c>
      <c r="BI54" s="38">
        <f t="shared" ca="1" si="10"/>
        <v>0</v>
      </c>
    </row>
    <row r="55" spans="1:61" ht="15.5" customHeight="1" thickBot="1" x14ac:dyDescent="0.4">
      <c r="A55" s="39">
        <f t="shared" ca="1" si="3"/>
        <v>0</v>
      </c>
      <c r="B55" s="40">
        <f t="shared" ca="1" si="2"/>
        <v>0</v>
      </c>
      <c r="C55" s="40">
        <f t="shared" ca="1" si="2"/>
        <v>0</v>
      </c>
      <c r="D55" s="40">
        <f t="shared" ca="1" si="2"/>
        <v>0</v>
      </c>
      <c r="E55" s="39">
        <f t="shared" ca="1" si="2"/>
        <v>0</v>
      </c>
      <c r="F55" s="40">
        <f t="shared" ca="1" si="2"/>
        <v>0</v>
      </c>
      <c r="G55" s="40">
        <f t="shared" ca="1" si="2"/>
        <v>0</v>
      </c>
      <c r="H55" s="41">
        <f t="shared" ca="1" si="2"/>
        <v>0</v>
      </c>
      <c r="I55" s="2">
        <v>15</v>
      </c>
      <c r="J55" s="6">
        <f ca="1">SUMPRODUCT(A55:H55,{128,64,32,16,8,4,2,1})</f>
        <v>0</v>
      </c>
      <c r="AP55" s="33"/>
      <c r="AQ55" s="33"/>
      <c r="AR55" s="33"/>
      <c r="AS55" s="33"/>
      <c r="AT55" s="33"/>
      <c r="AU55" s="33"/>
      <c r="BB55" s="37">
        <f t="shared" ca="1" si="11"/>
        <v>0</v>
      </c>
      <c r="BC55" s="3">
        <f t="shared" ca="1" si="4"/>
        <v>0</v>
      </c>
      <c r="BD55" s="3">
        <f t="shared" ca="1" si="5"/>
        <v>0</v>
      </c>
      <c r="BE55" s="3">
        <f t="shared" ca="1" si="6"/>
        <v>0</v>
      </c>
      <c r="BF55" s="3">
        <f t="shared" ca="1" si="7"/>
        <v>0</v>
      </c>
      <c r="BG55" s="3">
        <f t="shared" ca="1" si="8"/>
        <v>0</v>
      </c>
      <c r="BH55" s="3">
        <f t="shared" ca="1" si="9"/>
        <v>0</v>
      </c>
      <c r="BI55" s="38">
        <f t="shared" ca="1" si="10"/>
        <v>0</v>
      </c>
    </row>
    <row r="56" spans="1:61" ht="15.5" customHeight="1" x14ac:dyDescent="0.35">
      <c r="AP56" s="33"/>
      <c r="AQ56" s="33"/>
      <c r="AR56" s="33"/>
      <c r="AS56" s="33"/>
      <c r="AT56" s="33"/>
      <c r="AU56" s="33"/>
      <c r="BB56" s="37">
        <f t="shared" ca="1" si="11"/>
        <v>0</v>
      </c>
      <c r="BC56" s="3">
        <f t="shared" ca="1" si="4"/>
        <v>0</v>
      </c>
      <c r="BD56" s="3">
        <f t="shared" ca="1" si="5"/>
        <v>0</v>
      </c>
      <c r="BE56" s="3">
        <f t="shared" ca="1" si="6"/>
        <v>0</v>
      </c>
      <c r="BF56" s="3">
        <f t="shared" ca="1" si="7"/>
        <v>0</v>
      </c>
      <c r="BG56" s="3">
        <f ca="1">IF($L$11=1,
   0,
   IF($L$10=1,
      CL17,
      IF(AND($L$20=3, $L$21=$I56),
         BR$28,
         BG56
      )
   )
)</f>
        <v>0</v>
      </c>
      <c r="BH56" s="3">
        <f t="shared" ca="1" si="9"/>
        <v>0</v>
      </c>
      <c r="BI56" s="38">
        <f t="shared" ca="1" si="10"/>
        <v>0</v>
      </c>
    </row>
    <row r="57" spans="1:61" ht="15.5" customHeight="1" x14ac:dyDescent="0.35">
      <c r="AP57" s="33"/>
      <c r="AQ57" s="33"/>
      <c r="AR57" s="33"/>
      <c r="AS57" s="33"/>
      <c r="AT57" s="33"/>
      <c r="AU57" s="33"/>
      <c r="BB57" s="37">
        <f t="shared" ca="1" si="11"/>
        <v>0</v>
      </c>
      <c r="BC57" s="3">
        <f t="shared" ca="1" si="4"/>
        <v>0</v>
      </c>
      <c r="BD57" s="3">
        <f t="shared" ca="1" si="5"/>
        <v>0</v>
      </c>
      <c r="BE57" s="3">
        <f t="shared" ca="1" si="6"/>
        <v>0</v>
      </c>
      <c r="BF57" s="3">
        <f t="shared" ca="1" si="7"/>
        <v>0</v>
      </c>
      <c r="BG57" s="3">
        <f t="shared" ref="BG57:BG64" ca="1" si="12">IF($L$11=1,
   0,
   IF($L$10=1,
      CL18,
      IF(AND($L$20=3, $L$21=$I57),
         BR$28,
         BG57
      )
   )
)</f>
        <v>0</v>
      </c>
      <c r="BH57" s="3">
        <f t="shared" ca="1" si="9"/>
        <v>0</v>
      </c>
      <c r="BI57" s="38">
        <f t="shared" ca="1" si="10"/>
        <v>0</v>
      </c>
    </row>
    <row r="58" spans="1:61" ht="15.5" customHeight="1" x14ac:dyDescent="0.35">
      <c r="AP58" s="33"/>
      <c r="AQ58" s="33"/>
      <c r="AR58" s="33"/>
      <c r="AS58" s="33"/>
      <c r="AT58" s="33"/>
      <c r="AU58" s="33"/>
      <c r="BB58" s="37">
        <f t="shared" ca="1" si="11"/>
        <v>0</v>
      </c>
      <c r="BC58" s="3">
        <f t="shared" ca="1" si="4"/>
        <v>0</v>
      </c>
      <c r="BD58" s="3">
        <f t="shared" ca="1" si="5"/>
        <v>0</v>
      </c>
      <c r="BE58" s="3">
        <f t="shared" ca="1" si="6"/>
        <v>0</v>
      </c>
      <c r="BF58" s="3">
        <f t="shared" ca="1" si="7"/>
        <v>0</v>
      </c>
      <c r="BG58" s="3">
        <f t="shared" ca="1" si="12"/>
        <v>0</v>
      </c>
      <c r="BH58" s="3">
        <f t="shared" ca="1" si="9"/>
        <v>0</v>
      </c>
      <c r="BI58" s="38">
        <f t="shared" ca="1" si="10"/>
        <v>0</v>
      </c>
    </row>
    <row r="59" spans="1:61" ht="15.5" customHeight="1" x14ac:dyDescent="0.35">
      <c r="AP59" s="33"/>
      <c r="AQ59" s="33"/>
      <c r="AR59" s="33"/>
      <c r="AS59" s="33"/>
      <c r="AT59" s="33"/>
      <c r="AU59" s="33"/>
      <c r="BB59" s="37">
        <f t="shared" ca="1" si="11"/>
        <v>0</v>
      </c>
      <c r="BC59" s="3">
        <f t="shared" ca="1" si="4"/>
        <v>0</v>
      </c>
      <c r="BD59" s="3">
        <f t="shared" ca="1" si="5"/>
        <v>0</v>
      </c>
      <c r="BE59" s="3">
        <f t="shared" ca="1" si="6"/>
        <v>0</v>
      </c>
      <c r="BF59" s="3">
        <f t="shared" ca="1" si="7"/>
        <v>0</v>
      </c>
      <c r="BG59" s="3">
        <f t="shared" ca="1" si="12"/>
        <v>0</v>
      </c>
      <c r="BH59" s="3">
        <f t="shared" ca="1" si="9"/>
        <v>0</v>
      </c>
      <c r="BI59" s="38">
        <f t="shared" ca="1" si="10"/>
        <v>0</v>
      </c>
    </row>
    <row r="60" spans="1:61" ht="15.5" customHeight="1" x14ac:dyDescent="0.35">
      <c r="AP60" s="33"/>
      <c r="AQ60" s="33"/>
      <c r="AR60" s="33"/>
      <c r="AS60" s="33"/>
      <c r="AT60" s="33"/>
      <c r="AU60" s="33"/>
      <c r="BB60" s="37">
        <f t="shared" ca="1" si="11"/>
        <v>0</v>
      </c>
      <c r="BC60" s="3">
        <f t="shared" ca="1" si="4"/>
        <v>0</v>
      </c>
      <c r="BD60" s="3">
        <f t="shared" ca="1" si="5"/>
        <v>0</v>
      </c>
      <c r="BE60" s="3">
        <f t="shared" ca="1" si="6"/>
        <v>0</v>
      </c>
      <c r="BF60" s="3">
        <f t="shared" ca="1" si="7"/>
        <v>0</v>
      </c>
      <c r="BG60" s="3">
        <f t="shared" ca="1" si="12"/>
        <v>0</v>
      </c>
      <c r="BH60" s="3">
        <f t="shared" ca="1" si="9"/>
        <v>0</v>
      </c>
      <c r="BI60" s="38">
        <f t="shared" ca="1" si="10"/>
        <v>0</v>
      </c>
    </row>
    <row r="61" spans="1:61" ht="15.5" customHeight="1" x14ac:dyDescent="0.35">
      <c r="AP61" s="33"/>
      <c r="AQ61" s="33"/>
      <c r="AR61" s="33"/>
      <c r="AS61" s="33"/>
      <c r="AT61" s="33"/>
      <c r="AU61" s="33"/>
      <c r="BB61" s="37">
        <f t="shared" ca="1" si="11"/>
        <v>0</v>
      </c>
      <c r="BC61" s="3">
        <f t="shared" ca="1" si="4"/>
        <v>0</v>
      </c>
      <c r="BD61" s="3">
        <f t="shared" ca="1" si="5"/>
        <v>0</v>
      </c>
      <c r="BE61" s="3">
        <f t="shared" ca="1" si="6"/>
        <v>0</v>
      </c>
      <c r="BF61" s="3">
        <f t="shared" ca="1" si="7"/>
        <v>0</v>
      </c>
      <c r="BG61" s="3">
        <f t="shared" ca="1" si="12"/>
        <v>0</v>
      </c>
      <c r="BH61" s="3">
        <f t="shared" ca="1" si="9"/>
        <v>0</v>
      </c>
      <c r="BI61" s="38">
        <f t="shared" ca="1" si="10"/>
        <v>0</v>
      </c>
    </row>
    <row r="62" spans="1:61" ht="15.5" customHeight="1" x14ac:dyDescent="0.35">
      <c r="AP62" s="33"/>
      <c r="AQ62" s="33"/>
      <c r="AR62" s="33"/>
      <c r="AS62" s="33"/>
      <c r="AT62" s="33"/>
      <c r="AU62" s="33"/>
      <c r="BB62" s="37">
        <f t="shared" ca="1" si="11"/>
        <v>0</v>
      </c>
      <c r="BC62" s="3">
        <f t="shared" ca="1" si="4"/>
        <v>0</v>
      </c>
      <c r="BD62" s="3">
        <f t="shared" ca="1" si="5"/>
        <v>0</v>
      </c>
      <c r="BE62" s="3">
        <f t="shared" ca="1" si="6"/>
        <v>0</v>
      </c>
      <c r="BF62" s="3">
        <f t="shared" ca="1" si="7"/>
        <v>0</v>
      </c>
      <c r="BG62" s="3">
        <f t="shared" ca="1" si="12"/>
        <v>0</v>
      </c>
      <c r="BH62" s="3">
        <f t="shared" ca="1" si="9"/>
        <v>0</v>
      </c>
      <c r="BI62" s="38">
        <f t="shared" ca="1" si="10"/>
        <v>0</v>
      </c>
    </row>
    <row r="63" spans="1:61" ht="15.5" customHeight="1" x14ac:dyDescent="0.35">
      <c r="AP63" s="33"/>
      <c r="AQ63" s="33"/>
      <c r="AR63" s="33"/>
      <c r="AS63" s="33"/>
      <c r="AT63" s="33"/>
      <c r="AU63" s="33"/>
      <c r="BB63" s="37">
        <f t="shared" ca="1" si="11"/>
        <v>0</v>
      </c>
      <c r="BC63" s="3">
        <f t="shared" ca="1" si="4"/>
        <v>0</v>
      </c>
      <c r="BD63" s="3">
        <f t="shared" ca="1" si="5"/>
        <v>0</v>
      </c>
      <c r="BE63" s="3">
        <f t="shared" ca="1" si="6"/>
        <v>0</v>
      </c>
      <c r="BF63" s="3">
        <f t="shared" ca="1" si="7"/>
        <v>0</v>
      </c>
      <c r="BG63" s="3">
        <f t="shared" ca="1" si="12"/>
        <v>0</v>
      </c>
      <c r="BH63" s="3">
        <f t="shared" ca="1" si="9"/>
        <v>0</v>
      </c>
      <c r="BI63" s="38">
        <f t="shared" ca="1" si="10"/>
        <v>0</v>
      </c>
    </row>
    <row r="64" spans="1:61" ht="15.5" customHeight="1" thickBot="1" x14ac:dyDescent="0.4">
      <c r="AP64" s="33"/>
      <c r="AQ64" s="33"/>
      <c r="AR64" s="33"/>
      <c r="AS64" s="33"/>
      <c r="AT64" s="33"/>
      <c r="AU64" s="33"/>
      <c r="BB64" s="39">
        <f ca="1">IF($L$11=1,
   0,
   IF($L$10=1,
      CG25,
      IF(AND($L$20=3, $L$21=$I64),
         BM$28,
         BB64
      )
   )
)</f>
        <v>0</v>
      </c>
      <c r="BC64" s="40">
        <f t="shared" ca="1" si="4"/>
        <v>0</v>
      </c>
      <c r="BD64" s="40">
        <f t="shared" ca="1" si="5"/>
        <v>0</v>
      </c>
      <c r="BE64" s="40">
        <f t="shared" ca="1" si="6"/>
        <v>0</v>
      </c>
      <c r="BF64" s="40">
        <f t="shared" ca="1" si="7"/>
        <v>0</v>
      </c>
      <c r="BG64" s="40">
        <f t="shared" ca="1" si="12"/>
        <v>0</v>
      </c>
      <c r="BH64" s="40">
        <f t="shared" ca="1" si="9"/>
        <v>0</v>
      </c>
      <c r="BI64" s="41">
        <f t="shared" ca="1" si="10"/>
        <v>0</v>
      </c>
    </row>
    <row r="65" spans="42:47" ht="15.5" customHeight="1" x14ac:dyDescent="0.35">
      <c r="AP65" s="33"/>
      <c r="AQ65" s="33"/>
      <c r="AR65" s="33"/>
      <c r="AS65" s="33"/>
      <c r="AT65" s="33"/>
      <c r="AU65" s="33"/>
    </row>
    <row r="66" spans="42:47" ht="15.5" customHeight="1" x14ac:dyDescent="0.35">
      <c r="AP66" s="33"/>
      <c r="AQ66" s="33"/>
      <c r="AR66" s="33"/>
      <c r="AS66" s="33"/>
      <c r="AT66" s="33"/>
      <c r="AU66" s="33"/>
    </row>
    <row r="67" spans="42:47" ht="15.5" customHeight="1" x14ac:dyDescent="0.35">
      <c r="AP67" s="33"/>
      <c r="AQ67" s="33"/>
      <c r="AR67" s="33"/>
      <c r="AS67" s="33"/>
      <c r="AT67" s="33"/>
      <c r="AU67" s="33"/>
    </row>
    <row r="68" spans="42:47" ht="15.5" customHeight="1" x14ac:dyDescent="0.35">
      <c r="AP68" s="33"/>
      <c r="AQ68" s="33"/>
      <c r="AR68" s="33"/>
      <c r="AS68" s="33"/>
      <c r="AT68" s="33"/>
      <c r="AU68" s="33"/>
    </row>
    <row r="69" spans="42:47" ht="15.5" customHeight="1" x14ac:dyDescent="0.35">
      <c r="AP69" s="33"/>
      <c r="AQ69" s="33"/>
      <c r="AR69" s="33"/>
      <c r="AS69" s="33"/>
      <c r="AT69" s="33"/>
      <c r="AU69" s="33"/>
    </row>
    <row r="70" spans="42:47" ht="15.5" customHeight="1" x14ac:dyDescent="0.35">
      <c r="AP70" s="33"/>
      <c r="AQ70" s="33"/>
      <c r="AR70" s="33"/>
      <c r="AS70" s="33"/>
      <c r="AT70" s="33"/>
      <c r="AU70" s="33"/>
    </row>
    <row r="71" spans="42:47" ht="15.5" customHeight="1" x14ac:dyDescent="0.35">
      <c r="AP71" s="33"/>
      <c r="AQ71" s="33"/>
      <c r="AR71" s="33"/>
      <c r="AS71" s="33"/>
      <c r="AT71" s="33"/>
      <c r="AU71" s="33"/>
    </row>
    <row r="72" spans="42:47" ht="15.5" customHeight="1" x14ac:dyDescent="0.35">
      <c r="AP72" s="33"/>
      <c r="AQ72" s="33"/>
      <c r="AR72" s="33"/>
      <c r="AS72" s="33"/>
      <c r="AT72" s="33"/>
      <c r="AU72" s="33"/>
    </row>
    <row r="73" spans="42:47" ht="15.5" customHeight="1" x14ac:dyDescent="0.35">
      <c r="AP73" s="33"/>
      <c r="AQ73" s="33"/>
      <c r="AR73" s="33"/>
      <c r="AS73" s="33"/>
      <c r="AT73" s="33"/>
      <c r="AU73" s="33"/>
    </row>
    <row r="74" spans="42:47" ht="15.5" customHeight="1" x14ac:dyDescent="0.35">
      <c r="AP74" s="33"/>
      <c r="AQ74" s="33"/>
      <c r="AR74" s="33"/>
      <c r="AS74" s="33"/>
      <c r="AT74" s="33"/>
      <c r="AU74" s="33"/>
    </row>
    <row r="75" spans="42:47" ht="15.5" customHeight="1" x14ac:dyDescent="0.35">
      <c r="AP75" s="33"/>
      <c r="AQ75" s="33"/>
      <c r="AR75" s="33"/>
      <c r="AS75" s="33"/>
      <c r="AT75" s="33"/>
      <c r="AU75" s="33"/>
    </row>
    <row r="76" spans="42:47" ht="15.5" customHeight="1" x14ac:dyDescent="0.35">
      <c r="AP76" s="33"/>
      <c r="AQ76" s="33"/>
      <c r="AR76" s="33"/>
      <c r="AS76" s="33"/>
      <c r="AT76" s="33"/>
      <c r="AU76" s="33"/>
    </row>
    <row r="77" spans="42:47" ht="15.5" customHeight="1" x14ac:dyDescent="0.35">
      <c r="AP77" s="33"/>
      <c r="AQ77" s="33"/>
      <c r="AR77" s="33"/>
      <c r="AS77" s="33"/>
      <c r="AT77" s="33"/>
      <c r="AU77" s="33"/>
    </row>
    <row r="78" spans="42:47" ht="15.5" customHeight="1" x14ac:dyDescent="0.35">
      <c r="AP78" s="33"/>
      <c r="AQ78" s="33"/>
      <c r="AR78" s="33"/>
      <c r="AS78" s="33"/>
      <c r="AT78" s="33"/>
      <c r="AU78" s="33"/>
    </row>
    <row r="79" spans="42:47" ht="15.5" customHeight="1" x14ac:dyDescent="0.35">
      <c r="AP79" s="33"/>
      <c r="AQ79" s="33"/>
      <c r="AR79" s="33"/>
      <c r="AS79" s="33"/>
      <c r="AT79" s="33"/>
      <c r="AU79" s="33"/>
    </row>
    <row r="80" spans="42:47" ht="15.5" customHeight="1" x14ac:dyDescent="0.35">
      <c r="AP80" s="33"/>
      <c r="AQ80" s="33"/>
      <c r="AR80" s="33"/>
      <c r="AS80" s="33"/>
      <c r="AT80" s="33"/>
      <c r="AU80" s="33"/>
    </row>
    <row r="81" spans="42:47" ht="15.5" customHeight="1" x14ac:dyDescent="0.35">
      <c r="AP81" s="33"/>
      <c r="AQ81" s="33"/>
      <c r="AR81" s="33"/>
      <c r="AS81" s="33"/>
      <c r="AT81" s="33"/>
      <c r="AU81" s="33"/>
    </row>
    <row r="82" spans="42:47" ht="15.5" customHeight="1" x14ac:dyDescent="0.35">
      <c r="AP82" s="33"/>
      <c r="AQ82" s="33"/>
      <c r="AR82" s="33"/>
      <c r="AS82" s="33"/>
      <c r="AT82" s="33"/>
      <c r="AU82" s="33"/>
    </row>
    <row r="83" spans="42:47" ht="15.5" customHeight="1" x14ac:dyDescent="0.35">
      <c r="AP83" s="33"/>
      <c r="AQ83" s="33"/>
      <c r="AR83" s="33"/>
      <c r="AS83" s="33"/>
      <c r="AT83" s="33"/>
      <c r="AU83" s="33"/>
    </row>
    <row r="84" spans="42:47" ht="15.5" customHeight="1" x14ac:dyDescent="0.35">
      <c r="AP84" s="33"/>
      <c r="AQ84" s="33"/>
      <c r="AR84" s="33"/>
      <c r="AS84" s="33"/>
      <c r="AT84" s="33"/>
      <c r="AU84" s="33"/>
    </row>
    <row r="85" spans="42:47" ht="15.5" customHeight="1" x14ac:dyDescent="0.35">
      <c r="AP85" s="33"/>
      <c r="AQ85" s="33"/>
      <c r="AR85" s="33"/>
      <c r="AS85" s="33"/>
      <c r="AT85" s="33"/>
      <c r="AU85" s="33"/>
    </row>
    <row r="86" spans="42:47" ht="15.5" customHeight="1" x14ac:dyDescent="0.35">
      <c r="AP86" s="33"/>
      <c r="AQ86" s="33"/>
      <c r="AR86" s="33"/>
      <c r="AS86" s="33"/>
      <c r="AT86" s="33"/>
      <c r="AU86" s="33"/>
    </row>
    <row r="87" spans="42:47" ht="15.5" customHeight="1" x14ac:dyDescent="0.35">
      <c r="AP87" s="33"/>
      <c r="AQ87" s="33"/>
      <c r="AR87" s="33"/>
      <c r="AS87" s="33"/>
      <c r="AT87" s="33"/>
      <c r="AU87" s="33"/>
    </row>
    <row r="88" spans="42:47" ht="15.5" customHeight="1" x14ac:dyDescent="0.35">
      <c r="AP88" s="33"/>
      <c r="AQ88" s="33"/>
      <c r="AR88" s="33"/>
      <c r="AS88" s="33"/>
      <c r="AT88" s="33"/>
      <c r="AU88" s="33"/>
    </row>
    <row r="89" spans="42:47" ht="15.5" customHeight="1" x14ac:dyDescent="0.35">
      <c r="AP89" s="33"/>
      <c r="AQ89" s="33"/>
      <c r="AR89" s="33"/>
      <c r="AS89" s="33"/>
      <c r="AT89" s="33"/>
      <c r="AU89" s="33"/>
    </row>
    <row r="90" spans="42:47" ht="15.5" customHeight="1" x14ac:dyDescent="0.35">
      <c r="AP90" s="33"/>
      <c r="AQ90" s="33"/>
      <c r="AR90" s="33"/>
      <c r="AS90" s="33"/>
      <c r="AT90" s="33"/>
      <c r="AU90" s="33"/>
    </row>
    <row r="91" spans="42:47" ht="15.5" customHeight="1" x14ac:dyDescent="0.35">
      <c r="AP91" s="33"/>
      <c r="AQ91" s="33"/>
      <c r="AR91" s="33"/>
      <c r="AS91" s="33"/>
      <c r="AT91" s="33"/>
      <c r="AU91" s="33"/>
    </row>
    <row r="92" spans="42:47" ht="15.5" customHeight="1" x14ac:dyDescent="0.35">
      <c r="AP92" s="33"/>
      <c r="AQ92" s="33"/>
      <c r="AR92" s="33"/>
      <c r="AS92" s="33"/>
      <c r="AT92" s="33"/>
      <c r="AU92" s="33"/>
    </row>
    <row r="93" spans="42:47" ht="15.5" customHeight="1" x14ac:dyDescent="0.35">
      <c r="AP93" s="33"/>
      <c r="AQ93" s="33"/>
      <c r="AR93" s="33"/>
      <c r="AS93" s="33"/>
      <c r="AT93" s="33"/>
      <c r="AU93" s="33"/>
    </row>
    <row r="94" spans="42:47" ht="15.5" customHeight="1" x14ac:dyDescent="0.35">
      <c r="AP94" s="33"/>
      <c r="AQ94" s="33"/>
      <c r="AR94" s="33"/>
      <c r="AS94" s="33"/>
      <c r="AT94" s="33"/>
      <c r="AU94" s="33"/>
    </row>
    <row r="95" spans="42:47" ht="15.5" customHeight="1" x14ac:dyDescent="0.35">
      <c r="AP95" s="33"/>
      <c r="AQ95" s="33"/>
      <c r="AR95" s="33"/>
      <c r="AS95" s="33"/>
      <c r="AT95" s="33"/>
      <c r="AU95" s="33"/>
    </row>
    <row r="96" spans="42:47" ht="15.5" customHeight="1" x14ac:dyDescent="0.35">
      <c r="AP96" s="33"/>
      <c r="AQ96" s="33"/>
      <c r="AR96" s="33"/>
      <c r="AS96" s="33"/>
      <c r="AT96" s="33"/>
      <c r="AU96" s="33"/>
    </row>
    <row r="97" spans="42:47" ht="15.5" customHeight="1" x14ac:dyDescent="0.35">
      <c r="AP97" s="33"/>
      <c r="AQ97" s="33"/>
      <c r="AR97" s="33"/>
      <c r="AS97" s="33"/>
      <c r="AT97" s="33"/>
      <c r="AU97" s="33"/>
    </row>
    <row r="98" spans="42:47" ht="15.5" customHeight="1" x14ac:dyDescent="0.35">
      <c r="AP98" s="33"/>
      <c r="AQ98" s="33"/>
      <c r="AR98" s="33"/>
      <c r="AS98" s="33"/>
      <c r="AT98" s="33"/>
      <c r="AU98" s="33"/>
    </row>
    <row r="99" spans="42:47" ht="15.5" customHeight="1" x14ac:dyDescent="0.35">
      <c r="AP99" s="33"/>
      <c r="AQ99" s="33"/>
      <c r="AR99" s="33"/>
      <c r="AS99" s="33"/>
      <c r="AT99" s="33"/>
      <c r="AU99" s="33"/>
    </row>
    <row r="100" spans="42:47" ht="15.5" customHeight="1" x14ac:dyDescent="0.35">
      <c r="AP100" s="33"/>
      <c r="AQ100" s="33"/>
      <c r="AR100" s="33"/>
      <c r="AS100" s="33"/>
      <c r="AT100" s="33"/>
      <c r="AU100" s="33"/>
    </row>
  </sheetData>
  <phoneticPr fontId="2" type="noConversion"/>
  <conditionalFormatting sqref="AF1:AM16 AN1:AN2 AN4:AN16">
    <cfRule type="cellIs" dxfId="5" priority="7" operator="equal">
      <formula>0</formula>
    </cfRule>
  </conditionalFormatting>
  <conditionalFormatting sqref="A40:H55">
    <cfRule type="expression" dxfId="4" priority="10">
      <formula>ROW()=($L$16+40)</formula>
    </cfRule>
    <cfRule type="cellIs" dxfId="3" priority="11" operator="equal">
      <formula>0</formula>
    </cfRule>
  </conditionalFormatting>
  <conditionalFormatting sqref="BB49:BI64">
    <cfRule type="expression" dxfId="2" priority="2">
      <formula>ROW()=($L$16+40)</formula>
    </cfRule>
    <cfRule type="cellIs" dxfId="1" priority="3" operator="equal">
      <formula>0</formula>
    </cfRule>
  </conditionalFormatting>
  <conditionalFormatting sqref="L26">
    <cfRule type="cellIs" dxfId="0" priority="1" operator="equal">
      <formula>1</formula>
    </cfRule>
  </conditionalFormatting>
  <pageMargins left="0.7" right="0.7" top="0.75" bottom="0.75" header="0.3" footer="0.3"/>
  <ignoredErrors>
    <ignoredError sqref="AB2:AB7 AB17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epClock">
                <anchor moveWithCells="1" sizeWithCells="1">
                  <from>
                    <xdr:col>10</xdr:col>
                    <xdr:colOff>977900</xdr:colOff>
                    <xdr:row>32</xdr:row>
                    <xdr:rowOff>190500</xdr:rowOff>
                  </from>
                  <to>
                    <xdr:col>14</xdr:col>
                    <xdr:colOff>0</xdr:colOff>
                    <xdr:row>35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LoadProgram">
                <anchor moveWithCells="1" sizeWithCells="1">
                  <from>
                    <xdr:col>11</xdr:col>
                    <xdr:colOff>6350</xdr:colOff>
                    <xdr:row>31</xdr:row>
                    <xdr:rowOff>0</xdr:rowOff>
                  </from>
                  <to>
                    <xdr:col>14</xdr:col>
                    <xdr:colOff>6350</xdr:colOff>
                    <xdr:row>32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ResetCPU">
                <anchor moveWithCells="1" sizeWithCells="1">
                  <from>
                    <xdr:col>11</xdr:col>
                    <xdr:colOff>6350</xdr:colOff>
                    <xdr:row>29</xdr:row>
                    <xdr:rowOff>12700</xdr:rowOff>
                  </from>
                  <to>
                    <xdr:col>13</xdr:col>
                    <xdr:colOff>279400</xdr:colOff>
                    <xdr:row>31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_xludf.Run">
                <anchor moveWithCells="1" sizeWithCells="1">
                  <from>
                    <xdr:col>14</xdr:col>
                    <xdr:colOff>6350</xdr:colOff>
                    <xdr:row>33</xdr:row>
                    <xdr:rowOff>6350</xdr:rowOff>
                  </from>
                  <to>
                    <xdr:col>17</xdr:col>
                    <xdr:colOff>0</xdr:colOff>
                    <xdr:row>35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ZeroROM">
                <anchor moveWithCells="1" sizeWithCells="1">
                  <from>
                    <xdr:col>42</xdr:col>
                    <xdr:colOff>679450</xdr:colOff>
                    <xdr:row>0</xdr:row>
                    <xdr:rowOff>0</xdr:rowOff>
                  </from>
                  <to>
                    <xdr:col>44</xdr:col>
                    <xdr:colOff>44450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20</vt:i4>
      </vt:variant>
    </vt:vector>
  </HeadingPairs>
  <TitlesOfParts>
    <vt:vector size="22" baseType="lpstr">
      <vt:lpstr>Notebook</vt:lpstr>
      <vt:lpstr>MAIN</vt:lpstr>
      <vt:lpstr>ACC</vt:lpstr>
      <vt:lpstr>ACC_DEC</vt:lpstr>
      <vt:lpstr>FLAG</vt:lpstr>
      <vt:lpstr>INPUT</vt:lpstr>
      <vt:lpstr>IR</vt:lpstr>
      <vt:lpstr>LOAD</vt:lpstr>
      <vt:lpstr>MEM_AT_OPERAND</vt:lpstr>
      <vt:lpstr>NEW_ACC</vt:lpstr>
      <vt:lpstr>OPCODE_DEC</vt:lpstr>
      <vt:lpstr>OPERAND</vt:lpstr>
      <vt:lpstr>OPERAND_DEC</vt:lpstr>
      <vt:lpstr>PC</vt:lpstr>
      <vt:lpstr>PC_DEC</vt:lpstr>
      <vt:lpstr>PC_NEXT</vt:lpstr>
      <vt:lpstr>PROGRAM_ROM</vt:lpstr>
      <vt:lpstr>RAM</vt:lpstr>
      <vt:lpstr>RAM_ADDRESS</vt:lpstr>
      <vt:lpstr>SCREEN</vt:lpstr>
      <vt:lpstr>TICK</vt:lpstr>
      <vt:lpstr>ZF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Vytenis Narmontas</dc:creator>
  <cp:lastModifiedBy>Vytenis Narmontas</cp:lastModifiedBy>
  <dcterms:created xsi:type="dcterms:W3CDTF">2025-05-13T09:19:40Z</dcterms:created>
  <dcterms:modified xsi:type="dcterms:W3CDTF">2026-03-13T06:26:02Z</dcterms:modified>
</cp:coreProperties>
</file>